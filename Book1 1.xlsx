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6008353\Downloads\Venting\"/>
    </mc:Choice>
  </mc:AlternateContent>
  <xr:revisionPtr revIDLastSave="0" documentId="8_{8469C57D-02C1-43DE-99A9-F133A325B71F}" xr6:coauthVersionLast="47" xr6:coauthVersionMax="47" xr10:uidLastSave="{00000000-0000-0000-0000-000000000000}"/>
  <bookViews>
    <workbookView xWindow="-108" yWindow="-108" windowWidth="23256" windowHeight="13896" xr2:uid="{446AB68F-F929-4B2F-BF83-89A0FCC9E26F}"/>
  </bookViews>
  <sheets>
    <sheet name="Tank Venting" sheetId="1" r:id="rId1"/>
  </sheets>
  <externalReferences>
    <externalReference r:id="rId2"/>
    <externalReference r:id="rId3"/>
  </externalReferences>
  <definedNames>
    <definedName name="_Fill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Apple">#REF!</definedName>
    <definedName name="Awet">'Tank Venting'!$F$18</definedName>
    <definedName name="DesP">'Tank Venting'!$F$17</definedName>
    <definedName name="Picture">INDIRECT(#REF!)</definedName>
    <definedName name="_xlnm.Print_Area" localSheetId="0">'Tank Venting'!$A$1:$AN$74</definedName>
    <definedName name="Sketch">INDIRECT('[2]surface and volume cal'!$BR$15)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124" i="1" l="1"/>
  <c r="FA119" i="1"/>
  <c r="DG119" i="1"/>
  <c r="FA118" i="1"/>
  <c r="FA117" i="1"/>
  <c r="FA116" i="1"/>
  <c r="FA115" i="1"/>
  <c r="CD115" i="1"/>
  <c r="DD112" i="1"/>
  <c r="CD107" i="1"/>
  <c r="DG106" i="1"/>
  <c r="CD104" i="1"/>
  <c r="DG103" i="1"/>
  <c r="BN102" i="1"/>
  <c r="BG102" i="1"/>
  <c r="AH9" i="1" s="1"/>
  <c r="CD129" i="1" s="1"/>
  <c r="U56" i="1"/>
  <c r="CY47" i="1"/>
  <c r="AS44" i="1"/>
  <c r="AS43" i="1"/>
  <c r="AH42" i="1"/>
  <c r="Q42" i="1"/>
  <c r="Q47" i="1" s="1"/>
  <c r="BN39" i="1"/>
  <c r="AF35" i="1"/>
  <c r="CD110" i="1" s="1"/>
  <c r="P35" i="1"/>
  <c r="DG113" i="1" s="1"/>
  <c r="DP26" i="1"/>
  <c r="DN26" i="1"/>
  <c r="DJ26" i="1"/>
  <c r="DJ27" i="1" s="1"/>
  <c r="DP27" i="1" s="1"/>
  <c r="DJ21" i="1"/>
  <c r="DJ22" i="1" s="1"/>
  <c r="AF21" i="1"/>
  <c r="V21" i="1"/>
  <c r="AF20" i="1"/>
  <c r="V20" i="1"/>
  <c r="AH20" i="1" s="1"/>
  <c r="O20" i="1"/>
  <c r="E20" i="1"/>
  <c r="AF19" i="1"/>
  <c r="V19" i="1"/>
  <c r="O19" i="1"/>
  <c r="E19" i="1"/>
  <c r="AY18" i="1"/>
  <c r="AY17" i="1"/>
  <c r="AY19" i="1" s="1"/>
  <c r="AY20" i="1" s="1"/>
  <c r="AS14" i="1"/>
  <c r="DA11" i="1"/>
  <c r="AS11" i="1"/>
  <c r="Q11" i="1"/>
  <c r="Q12" i="1" s="1"/>
  <c r="DA10" i="1"/>
  <c r="AS10" i="1"/>
  <c r="Q10" i="1"/>
  <c r="CD130" i="1" s="1"/>
  <c r="CL130" i="1" s="1"/>
  <c r="AH45" i="1" s="1"/>
  <c r="DA9" i="1"/>
  <c r="DA8" i="1"/>
  <c r="DA7" i="1"/>
  <c r="DA6" i="1"/>
  <c r="DA5" i="1"/>
  <c r="CG2" i="1"/>
  <c r="DK7" i="1" s="1"/>
  <c r="DP22" i="1" l="1"/>
  <c r="DN22" i="1"/>
  <c r="DN27" i="1"/>
  <c r="DP28" i="1" s="1"/>
  <c r="CY44" i="1"/>
  <c r="FA113" i="1"/>
  <c r="FA114" i="1" s="1"/>
  <c r="FA120" i="1" s="1"/>
  <c r="CY43" i="1"/>
  <c r="CY46" i="1"/>
  <c r="CY45" i="1"/>
  <c r="CK79" i="1"/>
  <c r="CK81" i="1" s="1"/>
  <c r="DG125" i="1"/>
  <c r="DG126" i="1" s="1"/>
  <c r="Q46" i="1" s="1"/>
  <c r="AT46" i="1"/>
  <c r="Q45" i="1"/>
  <c r="AS46" i="1" s="1"/>
  <c r="AH44" i="1"/>
  <c r="CD131" i="1"/>
  <c r="DN35" i="1"/>
  <c r="DK5" i="1"/>
  <c r="AW6" i="1"/>
  <c r="DN21" i="1"/>
  <c r="DP21" i="1"/>
  <c r="DP23" i="1" s="1"/>
  <c r="DJ35" i="1"/>
  <c r="DJ36" i="1" s="1"/>
  <c r="Q44" i="1"/>
  <c r="AS40" i="1" s="1"/>
  <c r="DP35" i="1"/>
  <c r="U51" i="1" l="1"/>
  <c r="DP36" i="1"/>
  <c r="DP37" i="1" s="1"/>
  <c r="DN36" i="1"/>
  <c r="AH46" i="1"/>
  <c r="AH47" i="1" s="1"/>
  <c r="AS41" i="1"/>
  <c r="U53" i="1" l="1"/>
  <c r="AS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Jirapon Dangkham</author>
    <author>Chuntisar Charoenviseskorn</author>
  </authors>
  <commentList>
    <comment ref="AD10" authorId="0" shapeId="0" xr:uid="{27DA0569-9162-4569-BCD1-19652996F7DA}">
      <text>
        <r>
          <rPr>
            <b/>
            <sz val="9"/>
            <color indexed="81"/>
            <rFont val="Tahoma"/>
            <family val="2"/>
          </rPr>
          <t>Optional input, for reference only.</t>
        </r>
      </text>
    </comment>
    <comment ref="AF10" authorId="1" shapeId="0" xr:uid="{16DB2AFD-687C-4934-8687-9BD45C2DB519}">
      <text>
        <r>
          <rPr>
            <b/>
            <sz val="9"/>
            <color indexed="81"/>
            <rFont val="Tahoma"/>
            <family val="2"/>
          </rPr>
          <t>if both available (VP vs FP), use flash point-this criteria is used in API2000 5th only.</t>
        </r>
      </text>
    </comment>
    <comment ref="AF12" authorId="1" shapeId="0" xr:uid="{3F65FACB-31C4-4C85-BC5C-1D23BDB14FCF}">
      <text>
        <r>
          <rPr>
            <b/>
            <sz val="9"/>
            <color indexed="81"/>
            <rFont val="Tahoma"/>
            <family val="2"/>
          </rPr>
          <t>Normally Boiling point at relieving Pressure</t>
        </r>
      </text>
    </comment>
    <comment ref="O13" authorId="1" shapeId="0" xr:uid="{3117137E-2EB0-4FEC-A108-4111D4F6EC9E}">
      <text>
        <r>
          <rPr>
            <b/>
            <sz val="9"/>
            <color indexed="81"/>
            <rFont val="Tahoma"/>
            <family val="2"/>
          </rPr>
          <t>As find in Google map (Latitude,Longitude)
Typical for Maptaput, Thailand is 12.7° (Thailand : 5.6°-20.4°)</t>
        </r>
      </text>
    </comment>
    <comment ref="O14" authorId="0" shapeId="0" xr:uid="{EFBD2006-78CE-4D8D-9280-7FD2A45F4541}">
      <text>
        <r>
          <rPr>
            <b/>
            <sz val="9"/>
            <color indexed="81"/>
            <rFont val="Tahoma"/>
            <family val="2"/>
          </rPr>
          <t xml:space="preserve">Design pressure must be lower than 103.4 kPag.
</t>
        </r>
      </text>
    </comment>
    <comment ref="AF17" authorId="1" shapeId="0" xr:uid="{07AD41F9-994F-4814-A75A-BB019D84C9DB}">
      <text>
        <r>
          <rPr>
            <b/>
            <sz val="9"/>
            <color indexed="81"/>
            <rFont val="Tahoma"/>
            <family val="2"/>
          </rPr>
          <t>Maximum liquid level</t>
        </r>
      </text>
    </comment>
    <comment ref="AF19" authorId="1" shapeId="0" xr:uid="{42C7328B-52C9-43DB-A086-17E2D552EFAE}">
      <text>
        <r>
          <rPr>
            <b/>
            <sz val="9"/>
            <color indexed="81"/>
            <rFont val="Tahoma"/>
            <family val="2"/>
          </rPr>
          <t>Commonly assumed as 4 W/m2-K for typical tanks</t>
        </r>
      </text>
    </comment>
    <comment ref="U52" authorId="0" shapeId="0" xr:uid="{CDB40B6D-B321-4827-BE26-A7AF19E327F8}">
      <text>
        <r>
          <rPr>
            <b/>
            <sz val="9"/>
            <color indexed="81"/>
            <rFont val="Tahoma"/>
            <family val="2"/>
          </rPr>
          <t>The environmental factor, F, is
taken as 1.0 for bare-metal tanks.
For insulated tanks, F varies between
0.025 and 0.30, depending upon the
insulation conductance. The details
are furnished in API 2000, Table 9.</t>
        </r>
      </text>
    </comment>
  </commentList>
</comments>
</file>

<file path=xl/sharedStrings.xml><?xml version="1.0" encoding="utf-8"?>
<sst xmlns="http://schemas.openxmlformats.org/spreadsheetml/2006/main" count="328" uniqueCount="219">
  <si>
    <t>Enviroment factor (F-Factor)</t>
  </si>
  <si>
    <t>This document is confidential proprietary and/or legally privileged, intended to be used within PTTME Co.,Ltd. Unintended recipients are not allowed to distribute,copy, modify, retransmit, disseminate or use this document and/or information.</t>
  </si>
  <si>
    <t>ATMOSPHERIC AND LOW PRESSURE STORAGE TANK VENTING CALCULATION</t>
  </si>
  <si>
    <t>Tank design :</t>
  </si>
  <si>
    <t>Insulation Conductance (W/m2K)</t>
  </si>
  <si>
    <t>Insulation thickness (mm)</t>
  </si>
  <si>
    <t>table</t>
  </si>
  <si>
    <t>F-factor</t>
  </si>
  <si>
    <t>TANK NO.</t>
  </si>
  <si>
    <t>DESCRIPTION.</t>
  </si>
  <si>
    <t>Bare metal tank/water application/Depressuring</t>
  </si>
  <si>
    <t>Bare Metal Tank (No Insulation)</t>
  </si>
  <si>
    <t>Insulated tank/Concrete</t>
  </si>
  <si>
    <t>I. INPUT</t>
  </si>
  <si>
    <t>Insulated tank - Fully Insulation</t>
  </si>
  <si>
    <t>TANK DETAIL</t>
  </si>
  <si>
    <t>FLUID PROPERTIES</t>
  </si>
  <si>
    <t xml:space="preserve">Similar to Hexane </t>
  </si>
  <si>
    <t>Insulated tank - Partial Insulation</t>
  </si>
  <si>
    <t>Tank Diameter</t>
  </si>
  <si>
    <t>mm</t>
  </si>
  <si>
    <t>Avg. Storage Temperature</t>
  </si>
  <si>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</t>
    </r>
  </si>
  <si>
    <t xml:space="preserve">Higher than Hexane </t>
  </si>
  <si>
    <t>Concrete tank or Fire proofing</t>
  </si>
  <si>
    <t>Tank Height (TL-TL)</t>
  </si>
  <si>
    <t>Vapour Pressure</t>
  </si>
  <si>
    <t>kPa</t>
  </si>
  <si>
    <t>Unknown</t>
  </si>
  <si>
    <t>Water-application facilities</t>
  </si>
  <si>
    <t>Max. Tank Volume</t>
  </si>
  <si>
    <r>
      <t>m</t>
    </r>
    <r>
      <rPr>
        <vertAlign val="superscript"/>
        <sz val="8"/>
        <color theme="1"/>
        <rFont val="Calibri"/>
        <family val="2"/>
        <scheme val="minor"/>
      </rPr>
      <t>3</t>
    </r>
  </si>
  <si>
    <t>Flash Point or Boiling Point</t>
  </si>
  <si>
    <t>(F.P)</t>
  </si>
  <si>
    <t>Depressuring and Emptying facilities</t>
  </si>
  <si>
    <t>Surface Area</t>
  </si>
  <si>
    <r>
      <t>m</t>
    </r>
    <r>
      <rPr>
        <vertAlign val="superscript"/>
        <sz val="8"/>
        <color theme="1"/>
        <rFont val="Calibri"/>
        <family val="2"/>
        <scheme val="minor"/>
      </rPr>
      <t>2</t>
    </r>
  </si>
  <si>
    <t xml:space="preserve">Latent Heat </t>
  </si>
  <si>
    <t>kJ/kg</t>
  </si>
  <si>
    <t>*</t>
  </si>
  <si>
    <t>(B.P)</t>
  </si>
  <si>
    <r>
      <t xml:space="preserve">F.P </t>
    </r>
    <r>
      <rPr>
        <sz val="7"/>
        <color theme="1"/>
        <rFont val="Symbol"/>
        <family val="1"/>
        <charset val="2"/>
      </rPr>
      <t>&gt;</t>
    </r>
    <r>
      <rPr>
        <sz val="7"/>
        <color theme="1"/>
        <rFont val="Arial"/>
        <family val="2"/>
      </rPr>
      <t xml:space="preserve"> 37.8 or B.P </t>
    </r>
    <r>
      <rPr>
        <sz val="7"/>
        <color theme="1"/>
        <rFont val="Symbol"/>
        <family val="1"/>
        <charset val="2"/>
      </rPr>
      <t xml:space="preserve">&gt; </t>
    </r>
    <r>
      <rPr>
        <sz val="7"/>
        <color theme="1"/>
        <rFont val="Arial"/>
        <family val="2"/>
      </rPr>
      <t>149</t>
    </r>
  </si>
  <si>
    <t>Underground Storage</t>
  </si>
  <si>
    <t>Wetted Area for Emergency case</t>
  </si>
  <si>
    <t>Relieving Temperature</t>
  </si>
  <si>
    <t>F.P &lt; 37.8 or B.P &lt;149</t>
  </si>
  <si>
    <t>Earth-covered storage above grade</t>
  </si>
  <si>
    <t>Underground storage</t>
  </si>
  <si>
    <t>Tank Location (Latitude)</t>
  </si>
  <si>
    <t>°</t>
  </si>
  <si>
    <t xml:space="preserve">Molecular mass of vapor </t>
  </si>
  <si>
    <t xml:space="preserve">Impoundment away from tank
</t>
  </si>
  <si>
    <t>Earth cover</t>
  </si>
  <si>
    <t>Design Pressure</t>
  </si>
  <si>
    <t>kPag</t>
  </si>
  <si>
    <r>
      <t>(</t>
    </r>
    <r>
      <rPr>
        <sz val="8"/>
        <color theme="1"/>
        <rFont val="Arial"/>
        <family val="2"/>
      </rPr>
      <t>*</t>
    </r>
    <r>
      <rPr>
        <sz val="7"/>
        <color theme="1"/>
        <rFont val="Arial"/>
        <family val="2"/>
      </rPr>
      <t xml:space="preserve"> Required for emergency vent calculation, blank for Ref. Liquid = Hexane)</t>
    </r>
  </si>
  <si>
    <t>Impoundment</t>
  </si>
  <si>
    <t>CHK Design Pressure</t>
  </si>
  <si>
    <t>DRAIN SYSTEM</t>
  </si>
  <si>
    <t>Drain line size</t>
  </si>
  <si>
    <t>find cone roof area</t>
  </si>
  <si>
    <t>Flash Point</t>
  </si>
  <si>
    <t>Maximum height above the drain line</t>
  </si>
  <si>
    <t>h</t>
  </si>
  <si>
    <t>=</t>
  </si>
  <si>
    <t>Boiling Point</t>
  </si>
  <si>
    <t>Tank Design / Configulation</t>
  </si>
  <si>
    <t>r</t>
  </si>
  <si>
    <t>Outbreathing</t>
  </si>
  <si>
    <t>Normal Venting Requirement for thermal effect</t>
  </si>
  <si>
    <t>S</t>
  </si>
  <si>
    <t>Normal</t>
  </si>
  <si>
    <t>Tank capacity</t>
  </si>
  <si>
    <t>Inbreathing</t>
  </si>
  <si>
    <t>A1</t>
  </si>
  <si>
    <t>Sequence</t>
  </si>
  <si>
    <t>Capacity</t>
  </si>
  <si>
    <t>Value</t>
  </si>
  <si>
    <t xml:space="preserve">FP &gt;= 37.8 or BP &gt;=149 </t>
  </si>
  <si>
    <t>other</t>
  </si>
  <si>
    <t>Common Insulation Mat</t>
  </si>
  <si>
    <t>Avg. Thermal Conductivity</t>
  </si>
  <si>
    <t>Thermal Outbreath - Yfactor</t>
  </si>
  <si>
    <t>STREAM FLOWRATE</t>
  </si>
  <si>
    <t>W/m-K</t>
  </si>
  <si>
    <t>Latitude</t>
  </si>
  <si>
    <t>Y-Factor</t>
  </si>
  <si>
    <t>Incoming Streams</t>
  </si>
  <si>
    <t>Outgoing Streams</t>
  </si>
  <si>
    <t>Cellular Glass</t>
  </si>
  <si>
    <r>
      <t>below 42</t>
    </r>
    <r>
      <rPr>
        <sz val="7"/>
        <color theme="1"/>
        <rFont val="Calibri"/>
        <family val="2"/>
      </rPr>
      <t>°</t>
    </r>
  </si>
  <si>
    <t>Pro rate</t>
  </si>
  <si>
    <t>Steam No.</t>
  </si>
  <si>
    <r>
      <t>Flowrate (m</t>
    </r>
    <r>
      <rPr>
        <vertAlign val="superscript"/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2"/>
        <scheme val="minor"/>
      </rPr>
      <t>/h)</t>
    </r>
  </si>
  <si>
    <t>Mineral Fiber</t>
  </si>
  <si>
    <r>
      <t>Between 42</t>
    </r>
    <r>
      <rPr>
        <sz val="7"/>
        <color theme="1"/>
        <rFont val="Calibri"/>
        <family val="2"/>
      </rPr>
      <t xml:space="preserve"> °</t>
    </r>
    <r>
      <rPr>
        <sz val="7"/>
        <color theme="1"/>
        <rFont val="Arial"/>
        <family val="2"/>
      </rPr>
      <t xml:space="preserve"> and 58</t>
    </r>
    <r>
      <rPr>
        <sz val="7"/>
        <color theme="1"/>
        <rFont val="Calibri"/>
        <family val="2"/>
      </rPr>
      <t>°</t>
    </r>
  </si>
  <si>
    <t>Other</t>
  </si>
  <si>
    <t>1.</t>
  </si>
  <si>
    <t>Rated flow of P-3120A/R</t>
  </si>
  <si>
    <t>Calcium Silicate</t>
  </si>
  <si>
    <r>
      <t>Above 58</t>
    </r>
    <r>
      <rPr>
        <sz val="7"/>
        <color theme="1"/>
        <rFont val="Calibri"/>
        <family val="2"/>
      </rPr>
      <t>°</t>
    </r>
  </si>
  <si>
    <t>2.</t>
  </si>
  <si>
    <t>Rated flow of P-3120B/C</t>
  </si>
  <si>
    <t>Perlite</t>
  </si>
  <si>
    <t>3.</t>
  </si>
  <si>
    <t>Thermal Inbreath - Cfactor</t>
  </si>
  <si>
    <t>4.</t>
  </si>
  <si>
    <t>Vapor pressure</t>
  </si>
  <si>
    <t>5.</t>
  </si>
  <si>
    <t>6.</t>
  </si>
  <si>
    <t>7.</t>
  </si>
  <si>
    <t>8.</t>
  </si>
  <si>
    <t>9.</t>
  </si>
  <si>
    <t>10.</t>
  </si>
  <si>
    <t>Heaxane</t>
  </si>
  <si>
    <t>more than hexane or unknown</t>
  </si>
  <si>
    <t>TOTAL</t>
  </si>
  <si>
    <t>&lt;25</t>
  </si>
  <si>
    <t>&gt;= 25</t>
  </si>
  <si>
    <t>Calc Ri</t>
  </si>
  <si>
    <t>(Fill Value)</t>
  </si>
  <si>
    <t>II.</t>
  </si>
  <si>
    <t>CALCULATION</t>
  </si>
  <si>
    <t>NORMAL VENTING</t>
  </si>
  <si>
    <t>Calculation Method :</t>
  </si>
  <si>
    <t>API 2000 SEVENTH EDITION</t>
  </si>
  <si>
    <t>Heat Input (Q)</t>
  </si>
  <si>
    <t>OUT-BREATHING</t>
  </si>
  <si>
    <t>INBREATHING</t>
  </si>
  <si>
    <t>API 2000 FIFTH EDITION</t>
  </si>
  <si>
    <t>wetted surface area (ATWS)</t>
  </si>
  <si>
    <t>Design pressure kPag</t>
  </si>
  <si>
    <t>Heat Input W (a*ATWS^n)</t>
  </si>
  <si>
    <t>Outbreathing Vol. Flowrate</t>
  </si>
  <si>
    <r>
      <t>Nm</t>
    </r>
    <r>
      <rPr>
        <vertAlign val="superscript"/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2"/>
        <scheme val="minor"/>
      </rPr>
      <t>/h</t>
    </r>
  </si>
  <si>
    <t>Inbreathing Vol. Flowrate</t>
  </si>
  <si>
    <t>API 2000 SIXTH EDITION</t>
  </si>
  <si>
    <t>a</t>
  </si>
  <si>
    <t>n</t>
  </si>
  <si>
    <t>a*ATWS^n</t>
  </si>
  <si>
    <t>Thermal out-breathing</t>
  </si>
  <si>
    <t>Thermal inbreating</t>
  </si>
  <si>
    <t>&lt;18.6</t>
  </si>
  <si>
    <t>&lt;=103.4</t>
  </si>
  <si>
    <t>C-Factor</t>
  </si>
  <si>
    <t>&gt;=18.6 and &lt;93</t>
  </si>
  <si>
    <t>Reduction factor</t>
  </si>
  <si>
    <t>&gt;=93 and &lt;260</t>
  </si>
  <si>
    <t>&gt;=260</t>
  </si>
  <si>
    <t>&gt;7 and &lt;103.4</t>
  </si>
  <si>
    <t>Total normal out-breathing</t>
  </si>
  <si>
    <t>Total normal inbreathing</t>
  </si>
  <si>
    <t>&lt;=7</t>
  </si>
  <si>
    <t>EMERGENCY VENTING</t>
  </si>
  <si>
    <t>Emergency Venting for fire exposure</t>
  </si>
  <si>
    <t>Heat input from Fire Exposure, Q</t>
  </si>
  <si>
    <t>W</t>
  </si>
  <si>
    <t>Wetted area (m2) (&lt;=103.4)</t>
  </si>
  <si>
    <t>Venting Required (Nm3/h)</t>
  </si>
  <si>
    <t>Environmental factor, F</t>
  </si>
  <si>
    <t>Emergency Venting Required for Fire Exposure</t>
  </si>
  <si>
    <r>
      <t>Nm</t>
    </r>
    <r>
      <rPr>
        <vertAlign val="superscript"/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2"/>
        <scheme val="minor"/>
      </rPr>
      <t>/h of Air</t>
    </r>
  </si>
  <si>
    <t>Inbreating requirement due to draining</t>
  </si>
  <si>
    <t>NOTE S:</t>
  </si>
  <si>
    <t>&gt;260 (Design Pressure &lt;=7)</t>
  </si>
  <si>
    <t>&gt;260 (Design Pressure &gt;=7)</t>
  </si>
  <si>
    <t>Venting capacity (Nm3/h) incase of hexane properties</t>
  </si>
  <si>
    <t>Tank configuration</t>
  </si>
  <si>
    <t>Insulation conductance</t>
  </si>
  <si>
    <t>Insulation thickness</t>
  </si>
  <si>
    <t>W/m2K</t>
  </si>
  <si>
    <t>cm</t>
  </si>
  <si>
    <t>Bare metal tank</t>
  </si>
  <si>
    <t>Insulated tank</t>
  </si>
  <si>
    <t>Liquid Properties</t>
  </si>
  <si>
    <t>1A</t>
  </si>
  <si>
    <t>NORMAL INBREATHING</t>
  </si>
  <si>
    <t>2A</t>
  </si>
  <si>
    <t>Normal outbreathing</t>
  </si>
  <si>
    <t>3A</t>
  </si>
  <si>
    <t>Emergency Vent</t>
  </si>
  <si>
    <t>Hexane Vapor Pressure</t>
  </si>
  <si>
    <t>kPa  @</t>
  </si>
  <si>
    <t>C</t>
  </si>
  <si>
    <t>5th</t>
  </si>
  <si>
    <t>Normal Inbreathing = 0.94*flow out</t>
  </si>
  <si>
    <t>Nm3/h</t>
  </si>
  <si>
    <t>(See table 1B)</t>
  </si>
  <si>
    <t>6th</t>
  </si>
  <si>
    <t>Normal Inbreathing = Liquid Discharge</t>
  </si>
  <si>
    <t>???????</t>
  </si>
  <si>
    <t>7th</t>
  </si>
  <si>
    <t>1B</t>
  </si>
  <si>
    <t>Thermal Inbreathing</t>
  </si>
  <si>
    <t>Liquid ----&gt;</t>
  </si>
  <si>
    <t>A (Wetted Surface Area)</t>
  </si>
  <si>
    <t xml:space="preserve">m2 </t>
  </si>
  <si>
    <t>From table</t>
  </si>
  <si>
    <t>Q (heat input from fire exposure)</t>
  </si>
  <si>
    <t>Vit</t>
  </si>
  <si>
    <t>F (environmental factor -obtain from API Standard 2000)</t>
  </si>
  <si>
    <t>2B</t>
  </si>
  <si>
    <t>Thermal outbreathing</t>
  </si>
  <si>
    <t>L (latent heat of vap of stored liquid at relieving P &amp; T)</t>
  </si>
  <si>
    <r>
      <t>T (temp of relieving vapour - normally T</t>
    </r>
    <r>
      <rPr>
        <vertAlign val="subscript"/>
        <sz val="8"/>
        <rFont val="Calibri"/>
        <family val="2"/>
        <scheme val="minor"/>
      </rPr>
      <t>bp</t>
    </r>
    <r>
      <rPr>
        <sz val="8"/>
        <rFont val="Calibri"/>
        <family val="2"/>
        <scheme val="minor"/>
      </rPr>
      <t xml:space="preserve"> at relieving P)</t>
    </r>
  </si>
  <si>
    <r>
      <t>o</t>
    </r>
    <r>
      <rPr>
        <sz val="8"/>
        <rFont val="Arial"/>
        <family val="2"/>
      </rPr>
      <t>C</t>
    </r>
  </si>
  <si>
    <t>From Table</t>
  </si>
  <si>
    <t>M.W</t>
  </si>
  <si>
    <t>g/mol</t>
  </si>
  <si>
    <t>Vot</t>
  </si>
  <si>
    <t>P (Design Tank Pressure)</t>
  </si>
  <si>
    <t>Emergency Venting Required For Fire Exposure</t>
  </si>
  <si>
    <r>
      <t>Nm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/h of air</t>
    </r>
  </si>
  <si>
    <t>Y</t>
  </si>
  <si>
    <t>Ri</t>
  </si>
  <si>
    <t>same 6th</t>
  </si>
  <si>
    <t>Rin</t>
  </si>
  <si>
    <t>Rinp</t>
  </si>
  <si>
    <t>- Same 6th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</si>
</sst>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00000"/>
    <numFmt numFmtId="166" formatCode="0.000"/>
    <numFmt numFmtId="167" formatCode="#,##0.0"/>
    <numFmt numFmtId="168" formatCode="0.00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7"/>
      <color theme="1"/>
      <name val="Arial"/>
      <family val="2"/>
    </font>
    <font>
      <i/>
      <sz val="7"/>
      <color theme="1" tint="0.499984740745262"/>
      <name val="Arial"/>
      <family val="2"/>
    </font>
    <font>
      <sz val="6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5"/>
      <color theme="1"/>
      <name val="Arial"/>
      <family val="2"/>
    </font>
    <font>
      <sz val="8"/>
      <color theme="1"/>
      <name val="Calibri"/>
      <family val="2"/>
    </font>
    <font>
      <sz val="5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7"/>
      <color theme="1"/>
      <name val="Symbol"/>
      <family val="1"/>
      <charset val="2"/>
    </font>
    <font>
      <i/>
      <sz val="8"/>
      <color theme="0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7"/>
      <color theme="1"/>
      <name val="Calibri"/>
      <family val="2"/>
    </font>
    <font>
      <b/>
      <sz val="7"/>
      <color theme="1"/>
      <name val="Arial"/>
      <family val="2"/>
    </font>
    <font>
      <sz val="7"/>
      <color theme="1"/>
      <name val="Calibri"/>
      <family val="2"/>
      <scheme val="minor"/>
    </font>
    <font>
      <i/>
      <sz val="7"/>
      <color theme="1"/>
      <name val="Arial"/>
      <family val="2"/>
    </font>
    <font>
      <i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7"/>
      <color theme="1"/>
      <name val="Times New Roman"/>
      <family val="1"/>
    </font>
    <font>
      <sz val="10"/>
      <name val="Arial"/>
      <family val="2"/>
    </font>
    <font>
      <sz val="10"/>
      <color indexed="12"/>
      <name val="Arial"/>
      <family val="2"/>
    </font>
    <font>
      <sz val="8"/>
      <name val="Calibri"/>
      <family val="2"/>
      <scheme val="minor"/>
    </font>
    <font>
      <i/>
      <sz val="8"/>
      <color theme="1" tint="0.499984740745262"/>
      <name val="Arial"/>
      <family val="2"/>
    </font>
    <font>
      <sz val="8"/>
      <name val="Arial"/>
      <family val="2"/>
    </font>
    <font>
      <vertAlign val="subscript"/>
      <sz val="8"/>
      <name val="Calibri"/>
      <family val="2"/>
      <scheme val="minor"/>
    </font>
    <font>
      <vertAlign val="superscript"/>
      <sz val="8"/>
      <name val="Arial"/>
      <family val="2"/>
    </font>
    <font>
      <b/>
      <sz val="8"/>
      <name val="Arial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9" fillId="0" borderId="0"/>
  </cellStyleXfs>
  <cellXfs count="305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0" xfId="0" applyProtection="1">
      <protection hidden="1"/>
    </xf>
    <xf numFmtId="0" fontId="7" fillId="0" borderId="0" xfId="0" applyFont="1"/>
    <xf numFmtId="0" fontId="6" fillId="2" borderId="0" xfId="0" applyFont="1" applyFill="1"/>
    <xf numFmtId="0" fontId="8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Protection="1">
      <protection hidden="1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9" xfId="0" applyFont="1" applyFill="1" applyBorder="1" applyAlignment="1" applyProtection="1">
      <alignment horizontal="left" vertical="center" indent="1"/>
      <protection locked="0"/>
    </xf>
    <xf numFmtId="0" fontId="4" fillId="0" borderId="10" xfId="0" applyFont="1" applyBorder="1" applyAlignment="1">
      <alignment vertical="center"/>
    </xf>
    <xf numFmtId="0" fontId="6" fillId="0" borderId="0" xfId="0" applyFont="1"/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right"/>
    </xf>
    <xf numFmtId="0" fontId="10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4" fontId="6" fillId="0" borderId="0" xfId="0" applyNumberFormat="1" applyFont="1"/>
    <xf numFmtId="0" fontId="4" fillId="0" borderId="0" xfId="0" applyFont="1" applyAlignment="1">
      <alignment horizontal="right" vertical="center"/>
    </xf>
    <xf numFmtId="3" fontId="4" fillId="3" borderId="16" xfId="0" applyNumberFormat="1" applyFont="1" applyFill="1" applyBorder="1" applyAlignment="1" applyProtection="1">
      <alignment horizontal="center" vertical="center"/>
      <protection locked="0"/>
    </xf>
    <xf numFmtId="3" fontId="4" fillId="3" borderId="17" xfId="0" applyNumberFormat="1" applyFont="1" applyFill="1" applyBorder="1" applyAlignment="1" applyProtection="1">
      <alignment horizontal="center" vertical="center"/>
      <protection locked="0"/>
    </xf>
    <xf numFmtId="3" fontId="4" fillId="3" borderId="18" xfId="0" applyNumberFormat="1" applyFont="1" applyFill="1" applyBorder="1" applyAlignment="1" applyProtection="1">
      <alignment horizontal="center" vertical="center"/>
      <protection locked="0"/>
    </xf>
    <xf numFmtId="0" fontId="4" fillId="3" borderId="16" xfId="0" applyFont="1" applyFill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/>
      <protection locked="0"/>
    </xf>
    <xf numFmtId="0" fontId="4" fillId="3" borderId="18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 wrapText="1"/>
    </xf>
    <xf numFmtId="164" fontId="4" fillId="3" borderId="16" xfId="0" applyNumberFormat="1" applyFont="1" applyFill="1" applyBorder="1" applyAlignment="1" applyProtection="1">
      <alignment horizontal="center" vertical="center"/>
      <protection locked="0"/>
    </xf>
    <xf numFmtId="164" fontId="4" fillId="3" borderId="18" xfId="0" applyNumberFormat="1" applyFont="1" applyFill="1" applyBorder="1" applyAlignment="1" applyProtection="1">
      <alignment horizontal="center" vertical="center"/>
      <protection locked="0"/>
    </xf>
    <xf numFmtId="0" fontId="15" fillId="0" borderId="19" xfId="0" applyFont="1" applyBorder="1" applyAlignment="1">
      <alignment vertical="center"/>
    </xf>
    <xf numFmtId="0" fontId="16" fillId="4" borderId="16" xfId="0" applyFont="1" applyFill="1" applyBorder="1" applyAlignment="1" applyProtection="1">
      <alignment horizontal="center" vertical="center" wrapText="1"/>
      <protection locked="0"/>
    </xf>
    <xf numFmtId="0" fontId="16" fillId="4" borderId="17" xfId="0" applyFont="1" applyFill="1" applyBorder="1" applyAlignment="1" applyProtection="1">
      <alignment horizontal="center" vertical="center"/>
      <protection locked="0"/>
    </xf>
    <xf numFmtId="0" fontId="16" fillId="4" borderId="18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17" xfId="0" applyNumberFormat="1" applyFont="1" applyBorder="1" applyAlignment="1" applyProtection="1">
      <alignment horizontal="center" vertical="center"/>
      <protection hidden="1"/>
    </xf>
    <xf numFmtId="164" fontId="4" fillId="0" borderId="18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16" fillId="3" borderId="16" xfId="0" applyFont="1" applyFill="1" applyBorder="1" applyAlignment="1" applyProtection="1">
      <alignment horizontal="center" vertical="center"/>
      <protection locked="0"/>
    </xf>
    <xf numFmtId="0" fontId="16" fillId="3" borderId="17" xfId="0" applyFont="1" applyFill="1" applyBorder="1" applyAlignment="1" applyProtection="1">
      <alignment horizontal="center" vertical="center"/>
      <protection locked="0"/>
    </xf>
    <xf numFmtId="0" fontId="16" fillId="3" borderId="18" xfId="0" applyFont="1" applyFill="1" applyBorder="1" applyAlignment="1" applyProtection="1">
      <alignment horizontal="center" vertical="center"/>
      <protection locked="0"/>
    </xf>
    <xf numFmtId="0" fontId="15" fillId="0" borderId="0" xfId="0" applyFont="1"/>
    <xf numFmtId="0" fontId="4" fillId="0" borderId="0" xfId="0" applyFont="1" applyAlignment="1">
      <alignment horizontal="center" vertical="center"/>
    </xf>
    <xf numFmtId="164" fontId="4" fillId="3" borderId="17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right" vertical="center"/>
    </xf>
    <xf numFmtId="1" fontId="19" fillId="0" borderId="0" xfId="0" applyNumberFormat="1" applyFont="1" applyAlignment="1" applyProtection="1">
      <alignment horizontal="center" vertical="center"/>
      <protection locked="0"/>
    </xf>
    <xf numFmtId="1" fontId="4" fillId="0" borderId="0" xfId="0" quotePrefix="1" applyNumberFormat="1" applyFont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 applyProtection="1">
      <alignment vertical="center"/>
      <protection hidden="1"/>
    </xf>
    <xf numFmtId="2" fontId="4" fillId="0" borderId="0" xfId="0" applyNumberFormat="1" applyFont="1"/>
    <xf numFmtId="0" fontId="10" fillId="0" borderId="0" xfId="0" applyFont="1" applyAlignment="1">
      <alignment vertical="center"/>
    </xf>
    <xf numFmtId="0" fontId="10" fillId="3" borderId="0" xfId="0" applyFont="1" applyFill="1" applyAlignment="1" applyProtection="1">
      <alignment horizontal="center" vertical="center"/>
      <protection locked="0"/>
    </xf>
    <xf numFmtId="0" fontId="6" fillId="0" borderId="15" xfId="0" applyFont="1" applyBorder="1"/>
    <xf numFmtId="2" fontId="4" fillId="0" borderId="0" xfId="0" applyNumberFormat="1" applyFont="1" applyAlignment="1">
      <alignment vertical="center"/>
    </xf>
    <xf numFmtId="0" fontId="20" fillId="0" borderId="12" xfId="0" applyFont="1" applyBorder="1" applyAlignment="1">
      <alignment vertical="center"/>
    </xf>
    <xf numFmtId="0" fontId="6" fillId="0" borderId="9" xfId="0" applyFont="1" applyBorder="1"/>
    <xf numFmtId="0" fontId="6" fillId="0" borderId="13" xfId="0" applyFont="1" applyBorder="1"/>
    <xf numFmtId="2" fontId="6" fillId="0" borderId="0" xfId="0" applyNumberFormat="1" applyFont="1"/>
    <xf numFmtId="0" fontId="6" fillId="0" borderId="14" xfId="0" applyFont="1" applyBorder="1"/>
    <xf numFmtId="0" fontId="6" fillId="0" borderId="0" xfId="0" applyFont="1" applyAlignment="1">
      <alignment horizontal="center"/>
    </xf>
    <xf numFmtId="164" fontId="4" fillId="5" borderId="16" xfId="0" applyNumberFormat="1" applyFont="1" applyFill="1" applyBorder="1" applyAlignment="1">
      <alignment horizontal="center" vertical="center"/>
    </xf>
    <xf numFmtId="164" fontId="4" fillId="5" borderId="17" xfId="0" applyNumberFormat="1" applyFont="1" applyFill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15" xfId="0" applyNumberFormat="1" applyFont="1" applyBorder="1"/>
    <xf numFmtId="2" fontId="6" fillId="0" borderId="0" xfId="0" applyNumberFormat="1" applyFont="1"/>
    <xf numFmtId="0" fontId="4" fillId="0" borderId="6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2" fillId="0" borderId="0" xfId="0" applyFont="1"/>
    <xf numFmtId="0" fontId="4" fillId="0" borderId="0" xfId="0" quotePrefix="1" applyFont="1" applyAlignment="1">
      <alignment horizontal="center" vertical="center"/>
    </xf>
    <xf numFmtId="0" fontId="4" fillId="3" borderId="23" xfId="0" applyFont="1" applyFill="1" applyBorder="1" applyAlignment="1" applyProtection="1">
      <alignment horizontal="left" vertical="center" indent="1"/>
      <protection locked="0"/>
    </xf>
    <xf numFmtId="0" fontId="4" fillId="3" borderId="24" xfId="0" applyFont="1" applyFill="1" applyBorder="1" applyAlignment="1" applyProtection="1">
      <alignment horizontal="left" vertical="center" indent="1"/>
      <protection locked="0"/>
    </xf>
    <xf numFmtId="0" fontId="4" fillId="3" borderId="25" xfId="0" applyFont="1" applyFill="1" applyBorder="1" applyAlignment="1" applyProtection="1">
      <alignment horizontal="left" vertical="center" indent="1"/>
      <protection locked="0"/>
    </xf>
    <xf numFmtId="0" fontId="4" fillId="3" borderId="23" xfId="0" applyFont="1" applyFill="1" applyBorder="1" applyAlignment="1" applyProtection="1">
      <alignment horizontal="center" vertical="center"/>
      <protection locked="0"/>
    </xf>
    <xf numFmtId="0" fontId="4" fillId="3" borderId="24" xfId="0" applyFont="1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 applyProtection="1">
      <alignment horizontal="center" vertical="center"/>
      <protection locked="0"/>
    </xf>
    <xf numFmtId="0" fontId="4" fillId="0" borderId="0" xfId="0" quotePrefix="1" applyFont="1" applyAlignment="1">
      <alignment vertical="center"/>
    </xf>
    <xf numFmtId="0" fontId="4" fillId="3" borderId="27" xfId="0" applyFont="1" applyFill="1" applyBorder="1" applyAlignment="1" applyProtection="1">
      <alignment horizontal="left" vertical="center" indent="1"/>
      <protection locked="0"/>
    </xf>
    <xf numFmtId="0" fontId="4" fillId="3" borderId="27" xfId="0" applyFont="1" applyFill="1" applyBorder="1" applyAlignment="1" applyProtection="1">
      <alignment horizontal="center" vertical="center"/>
      <protection locked="0"/>
    </xf>
    <xf numFmtId="0" fontId="4" fillId="3" borderId="28" xfId="0" applyFont="1" applyFill="1" applyBorder="1" applyAlignment="1" applyProtection="1">
      <alignment horizontal="left" vertical="center" indent="1"/>
      <protection locked="0"/>
    </xf>
    <xf numFmtId="0" fontId="4" fillId="3" borderId="29" xfId="0" applyFont="1" applyFill="1" applyBorder="1" applyAlignment="1" applyProtection="1">
      <alignment horizontal="left" vertical="center" indent="1"/>
      <protection locked="0"/>
    </xf>
    <xf numFmtId="0" fontId="4" fillId="3" borderId="16" xfId="0" applyFont="1" applyFill="1" applyBorder="1" applyAlignment="1" applyProtection="1">
      <alignment horizontal="left" vertical="center" indent="1"/>
      <protection locked="0"/>
    </xf>
    <xf numFmtId="0" fontId="4" fillId="3" borderId="28" xfId="0" applyFont="1" applyFill="1" applyBorder="1" applyAlignment="1" applyProtection="1">
      <alignment horizontal="center" vertical="center"/>
      <protection locked="0"/>
    </xf>
    <xf numFmtId="0" fontId="4" fillId="3" borderId="29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horizontal="center" vertical="center"/>
      <protection locked="0"/>
    </xf>
    <xf numFmtId="0" fontId="23" fillId="0" borderId="0" xfId="0" applyFont="1"/>
    <xf numFmtId="0" fontId="23" fillId="0" borderId="0" xfId="0" applyFont="1"/>
    <xf numFmtId="0" fontId="23" fillId="0" borderId="31" xfId="0" applyFont="1" applyBorder="1"/>
    <xf numFmtId="0" fontId="23" fillId="0" borderId="6" xfId="0" applyFont="1" applyBorder="1"/>
    <xf numFmtId="0" fontId="23" fillId="0" borderId="32" xfId="0" applyFont="1" applyBorder="1"/>
    <xf numFmtId="0" fontId="23" fillId="0" borderId="0" xfId="0" applyFont="1" applyProtection="1">
      <protection hidden="1"/>
    </xf>
    <xf numFmtId="0" fontId="23" fillId="2" borderId="0" xfId="0" applyFont="1" applyFill="1"/>
    <xf numFmtId="0" fontId="23" fillId="0" borderId="9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15" xfId="0" applyFont="1" applyBorder="1"/>
    <xf numFmtId="0" fontId="4" fillId="3" borderId="33" xfId="0" applyFont="1" applyFill="1" applyBorder="1" applyAlignment="1" applyProtection="1">
      <alignment horizontal="left" vertical="center" indent="1"/>
      <protection locked="0"/>
    </xf>
    <xf numFmtId="0" fontId="4" fillId="3" borderId="34" xfId="0" applyFont="1" applyFill="1" applyBorder="1" applyAlignment="1" applyProtection="1">
      <alignment horizontal="left" vertical="center" indent="1"/>
      <protection locked="0"/>
    </xf>
    <xf numFmtId="0" fontId="4" fillId="3" borderId="35" xfId="0" applyFont="1" applyFill="1" applyBorder="1" applyAlignment="1" applyProtection="1">
      <alignment horizontal="left" vertical="center" indent="1"/>
      <protection locked="0"/>
    </xf>
    <xf numFmtId="0" fontId="4" fillId="3" borderId="33" xfId="0" applyFont="1" applyFill="1" applyBorder="1" applyAlignment="1" applyProtection="1">
      <alignment horizontal="center" vertical="center"/>
      <protection locked="0"/>
    </xf>
    <xf numFmtId="0" fontId="4" fillId="3" borderId="34" xfId="0" applyFont="1" applyFill="1" applyBorder="1" applyAlignment="1" applyProtection="1">
      <alignment horizontal="center" vertical="center"/>
      <protection locked="0"/>
    </xf>
    <xf numFmtId="0" fontId="4" fillId="3" borderId="36" xfId="0" applyFont="1" applyFill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hidden="1"/>
    </xf>
    <xf numFmtId="0" fontId="4" fillId="0" borderId="38" xfId="0" applyFont="1" applyBorder="1" applyAlignment="1" applyProtection="1">
      <alignment horizontal="center" vertical="center"/>
      <protection hidden="1"/>
    </xf>
    <xf numFmtId="0" fontId="4" fillId="0" borderId="39" xfId="0" applyFont="1" applyBorder="1" applyAlignment="1" applyProtection="1">
      <alignment horizontal="center" vertical="center"/>
      <protection hidden="1"/>
    </xf>
    <xf numFmtId="0" fontId="4" fillId="0" borderId="3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24" fillId="0" borderId="0" xfId="0" applyFont="1"/>
    <xf numFmtId="0" fontId="6" fillId="0" borderId="0" xfId="0" quotePrefix="1" applyFont="1"/>
    <xf numFmtId="0" fontId="6" fillId="0" borderId="31" xfId="0" applyFont="1" applyBorder="1"/>
    <xf numFmtId="0" fontId="6" fillId="0" borderId="6" xfId="0" applyFont="1" applyBorder="1"/>
    <xf numFmtId="0" fontId="6" fillId="0" borderId="32" xfId="0" applyFont="1" applyBorder="1"/>
    <xf numFmtId="0" fontId="10" fillId="0" borderId="9" xfId="0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165" fontId="6" fillId="0" borderId="0" xfId="0" quotePrefix="1" applyNumberFormat="1" applyFont="1" applyAlignment="1">
      <alignment horizontal="left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0" borderId="12" xfId="0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6" fillId="0" borderId="0" xfId="1" applyNumberFormat="1" applyFont="1" applyProtection="1"/>
    <xf numFmtId="0" fontId="4" fillId="0" borderId="40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41" xfId="0" applyFont="1" applyBorder="1" applyAlignment="1" applyProtection="1">
      <alignment horizontal="center" vertical="center"/>
      <protection hidden="1"/>
    </xf>
    <xf numFmtId="1" fontId="6" fillId="0" borderId="0" xfId="1" applyNumberFormat="1" applyFont="1" applyProtection="1"/>
    <xf numFmtId="166" fontId="4" fillId="0" borderId="40" xfId="0" applyNumberFormat="1" applyFont="1" applyBorder="1" applyAlignment="1" applyProtection="1">
      <alignment horizontal="center" vertical="center"/>
      <protection locked="0"/>
    </xf>
    <xf numFmtId="166" fontId="4" fillId="0" borderId="17" xfId="0" applyNumberFormat="1" applyFont="1" applyBorder="1" applyAlignment="1" applyProtection="1">
      <alignment horizontal="center" vertical="center"/>
      <protection locked="0"/>
    </xf>
    <xf numFmtId="166" fontId="4" fillId="0" borderId="41" xfId="0" applyNumberFormat="1" applyFont="1" applyBorder="1" applyAlignment="1" applyProtection="1">
      <alignment horizontal="center" vertical="center"/>
      <protection locked="0"/>
    </xf>
    <xf numFmtId="164" fontId="4" fillId="0" borderId="40" xfId="0" applyNumberFormat="1" applyFont="1" applyBorder="1" applyAlignment="1" applyProtection="1">
      <alignment horizontal="center" vertical="center"/>
      <protection hidden="1"/>
    </xf>
    <xf numFmtId="164" fontId="4" fillId="0" borderId="41" xfId="0" applyNumberFormat="1" applyFont="1" applyBorder="1" applyAlignment="1" applyProtection="1">
      <alignment horizontal="center" vertical="center"/>
      <protection hidden="1"/>
    </xf>
    <xf numFmtId="2" fontId="4" fillId="0" borderId="15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2" xfId="0" applyFont="1" applyBorder="1" applyAlignment="1">
      <alignment horizontal="right" vertical="center"/>
    </xf>
    <xf numFmtId="0" fontId="4" fillId="0" borderId="43" xfId="0" applyFont="1" applyBorder="1" applyAlignment="1">
      <alignment vertical="center"/>
    </xf>
    <xf numFmtId="167" fontId="4" fillId="0" borderId="37" xfId="0" applyNumberFormat="1" applyFont="1" applyBorder="1" applyAlignment="1" applyProtection="1">
      <alignment horizontal="center" vertical="center"/>
      <protection hidden="1"/>
    </xf>
    <xf numFmtId="167" fontId="4" fillId="0" borderId="38" xfId="0" applyNumberFormat="1" applyFont="1" applyBorder="1" applyAlignment="1" applyProtection="1">
      <alignment horizontal="center" vertical="center"/>
      <protection hidden="1"/>
    </xf>
    <xf numFmtId="167" fontId="4" fillId="0" borderId="39" xfId="0" applyNumberFormat="1" applyFont="1" applyBorder="1" applyAlignment="1" applyProtection="1">
      <alignment horizontal="center" vertical="center"/>
      <protection hidden="1"/>
    </xf>
    <xf numFmtId="1" fontId="4" fillId="0" borderId="0" xfId="0" applyNumberFormat="1" applyFont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6" fillId="0" borderId="9" xfId="0" applyFont="1" applyBorder="1" applyAlignment="1">
      <alignment horizontal="right" vertical="center"/>
    </xf>
    <xf numFmtId="1" fontId="26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4" fillId="0" borderId="16" xfId="0" applyNumberFormat="1" applyFont="1" applyBorder="1" applyAlignment="1" applyProtection="1">
      <alignment horizontal="center" vertical="center"/>
      <protection hidden="1"/>
    </xf>
    <xf numFmtId="3" fontId="4" fillId="0" borderId="17" xfId="0" applyNumberFormat="1" applyFont="1" applyBorder="1" applyAlignment="1" applyProtection="1">
      <alignment horizontal="center" vertical="center"/>
      <protection hidden="1"/>
    </xf>
    <xf numFmtId="3" fontId="4" fillId="0" borderId="18" xfId="0" applyNumberFormat="1" applyFont="1" applyBorder="1" applyAlignment="1" applyProtection="1">
      <alignment horizontal="center" vertical="center"/>
      <protection hidden="1"/>
    </xf>
    <xf numFmtId="2" fontId="4" fillId="3" borderId="16" xfId="0" applyNumberFormat="1" applyFont="1" applyFill="1" applyBorder="1" applyAlignment="1" applyProtection="1">
      <alignment horizontal="center" vertical="center"/>
      <protection locked="0"/>
    </xf>
    <xf numFmtId="2" fontId="4" fillId="3" borderId="17" xfId="0" applyNumberFormat="1" applyFont="1" applyFill="1" applyBorder="1" applyAlignment="1" applyProtection="1">
      <alignment horizontal="center" vertical="center"/>
      <protection locked="0"/>
    </xf>
    <xf numFmtId="2" fontId="4" fillId="3" borderId="18" xfId="0" applyNumberFormat="1" applyFont="1" applyFill="1" applyBorder="1" applyAlignment="1" applyProtection="1">
      <alignment horizontal="center" vertical="center"/>
      <protection locked="0"/>
    </xf>
    <xf numFmtId="3" fontId="4" fillId="0" borderId="44" xfId="0" applyNumberFormat="1" applyFont="1" applyBorder="1" applyAlignment="1" applyProtection="1">
      <alignment horizontal="center" vertical="center"/>
      <protection hidden="1"/>
    </xf>
    <xf numFmtId="3" fontId="4" fillId="0" borderId="45" xfId="0" applyNumberFormat="1" applyFont="1" applyBorder="1" applyAlignment="1" applyProtection="1">
      <alignment horizontal="center" vertical="center"/>
      <protection hidden="1"/>
    </xf>
    <xf numFmtId="3" fontId="4" fillId="0" borderId="46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left" vertical="center"/>
    </xf>
    <xf numFmtId="1" fontId="4" fillId="0" borderId="16" xfId="0" applyNumberFormat="1" applyFont="1" applyBorder="1" applyAlignment="1" applyProtection="1">
      <alignment horizontal="center" vertical="center"/>
      <protection hidden="1"/>
    </xf>
    <xf numFmtId="1" fontId="4" fillId="0" borderId="17" xfId="0" applyNumberFormat="1" applyFont="1" applyBorder="1" applyAlignment="1" applyProtection="1">
      <alignment horizontal="center" vertical="center"/>
      <protection hidden="1"/>
    </xf>
    <xf numFmtId="1" fontId="4" fillId="0" borderId="18" xfId="0" applyNumberFormat="1" applyFont="1" applyBorder="1" applyAlignment="1" applyProtection="1">
      <alignment horizontal="center" vertical="center"/>
      <protection hidden="1"/>
    </xf>
    <xf numFmtId="0" fontId="4" fillId="3" borderId="11" xfId="0" applyFont="1" applyFill="1" applyBorder="1" applyAlignment="1" applyProtection="1">
      <alignment vertical="center"/>
      <protection locked="0"/>
    </xf>
    <xf numFmtId="0" fontId="4" fillId="3" borderId="0" xfId="0" applyFont="1" applyFill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3" borderId="6" xfId="0" applyFont="1" applyFill="1" applyBorder="1" applyAlignment="1" applyProtection="1">
      <alignment vertical="center"/>
      <protection locked="0"/>
    </xf>
    <xf numFmtId="0" fontId="4" fillId="3" borderId="7" xfId="0" applyFont="1" applyFill="1" applyBorder="1" applyAlignment="1" applyProtection="1">
      <alignment vertical="center"/>
      <protection locked="0"/>
    </xf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 applyAlignment="1" applyProtection="1">
      <alignment horizontal="left" indent="1"/>
      <protection locked="0"/>
    </xf>
    <xf numFmtId="0" fontId="4" fillId="0" borderId="48" xfId="0" applyFont="1" applyBorder="1" applyAlignment="1" applyProtection="1">
      <alignment horizontal="left" indent="1"/>
      <protection locked="0"/>
    </xf>
    <xf numFmtId="0" fontId="4" fillId="0" borderId="50" xfId="0" applyFont="1" applyBorder="1" applyAlignment="1" applyProtection="1">
      <alignment horizontal="left" indent="1"/>
      <protection locked="0"/>
    </xf>
    <xf numFmtId="0" fontId="4" fillId="0" borderId="49" xfId="0" applyFont="1" applyBorder="1" applyAlignment="1" applyProtection="1">
      <alignment horizontal="center"/>
      <protection locked="0"/>
    </xf>
    <xf numFmtId="0" fontId="4" fillId="0" borderId="48" xfId="0" applyFont="1" applyBorder="1" applyAlignment="1" applyProtection="1">
      <alignment horizontal="center"/>
      <protection locked="0"/>
    </xf>
    <xf numFmtId="0" fontId="4" fillId="0" borderId="50" xfId="0" applyFont="1" applyBorder="1" applyAlignment="1" applyProtection="1">
      <alignment horizontal="center"/>
      <protection locked="0"/>
    </xf>
    <xf numFmtId="0" fontId="4" fillId="0" borderId="51" xfId="0" applyFont="1" applyBorder="1" applyAlignment="1" applyProtection="1">
      <alignment horizontal="center"/>
      <protection locked="0"/>
    </xf>
    <xf numFmtId="0" fontId="4" fillId="0" borderId="19" xfId="0" applyFont="1" applyBorder="1"/>
    <xf numFmtId="0" fontId="4" fillId="0" borderId="40" xfId="0" applyFont="1" applyBorder="1" applyAlignment="1" applyProtection="1">
      <alignment horizontal="left" indent="1"/>
      <protection locked="0"/>
    </xf>
    <xf numFmtId="0" fontId="4" fillId="0" borderId="17" xfId="0" applyFont="1" applyBorder="1" applyAlignment="1" applyProtection="1">
      <alignment horizontal="left" indent="1"/>
      <protection locked="0"/>
    </xf>
    <xf numFmtId="0" fontId="4" fillId="0" borderId="41" xfId="0" applyFont="1" applyBorder="1" applyAlignment="1" applyProtection="1">
      <alignment horizontal="left" indent="1"/>
      <protection locked="0"/>
    </xf>
    <xf numFmtId="0" fontId="23" fillId="0" borderId="40" xfId="0" applyFont="1" applyBorder="1" applyAlignment="1" applyProtection="1">
      <alignment horizontal="center"/>
      <protection locked="0"/>
    </xf>
    <xf numFmtId="0" fontId="23" fillId="0" borderId="17" xfId="0" applyFont="1" applyBorder="1" applyAlignment="1" applyProtection="1">
      <alignment horizontal="center"/>
      <protection locked="0"/>
    </xf>
    <xf numFmtId="0" fontId="23" fillId="0" borderId="41" xfId="0" applyFont="1" applyBorder="1" applyAlignment="1" applyProtection="1">
      <alignment horizontal="center"/>
      <protection locked="0"/>
    </xf>
    <xf numFmtId="0" fontId="23" fillId="0" borderId="52" xfId="0" applyFont="1" applyBorder="1" applyAlignment="1" applyProtection="1">
      <alignment horizontal="center"/>
      <protection locked="0"/>
    </xf>
    <xf numFmtId="0" fontId="4" fillId="0" borderId="11" xfId="0" applyFont="1" applyBorder="1"/>
    <xf numFmtId="0" fontId="4" fillId="0" borderId="0" xfId="0" applyFont="1"/>
    <xf numFmtId="0" fontId="4" fillId="0" borderId="53" xfId="0" applyFont="1" applyBorder="1" applyAlignment="1" applyProtection="1">
      <alignment horizontal="left" indent="1"/>
      <protection locked="0"/>
    </xf>
    <xf numFmtId="0" fontId="4" fillId="0" borderId="54" xfId="0" applyFont="1" applyBorder="1" applyAlignment="1" applyProtection="1">
      <alignment horizontal="left" indent="1"/>
      <protection locked="0"/>
    </xf>
    <xf numFmtId="0" fontId="4" fillId="0" borderId="55" xfId="0" applyFont="1" applyBorder="1" applyAlignment="1" applyProtection="1">
      <alignment horizontal="left" indent="1"/>
      <protection locked="0"/>
    </xf>
    <xf numFmtId="0" fontId="4" fillId="0" borderId="53" xfId="0" applyFont="1" applyBorder="1" applyAlignment="1" applyProtection="1">
      <alignment horizontal="center"/>
      <protection locked="0"/>
    </xf>
    <xf numFmtId="0" fontId="4" fillId="0" borderId="54" xfId="0" applyFont="1" applyBorder="1" applyAlignment="1" applyProtection="1">
      <alignment horizontal="center"/>
      <protection locked="0"/>
    </xf>
    <xf numFmtId="0" fontId="4" fillId="0" borderId="55" xfId="0" applyFont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23" fillId="0" borderId="8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/>
    </xf>
    <xf numFmtId="0" fontId="23" fillId="0" borderId="59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11" fillId="0" borderId="59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4" fillId="0" borderId="61" xfId="0" applyFont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 applyProtection="1">
      <alignment horizontal="center" vertical="center"/>
      <protection locked="0"/>
    </xf>
    <xf numFmtId="0" fontId="27" fillId="2" borderId="0" xfId="0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27" fillId="2" borderId="0" xfId="0" applyFont="1" applyFill="1" applyAlignment="1">
      <alignment horizontal="right" vertical="top"/>
    </xf>
    <xf numFmtId="0" fontId="2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" fontId="23" fillId="0" borderId="0" xfId="0" applyNumberFormat="1" applyFont="1" applyAlignment="1">
      <alignment horizontal="right"/>
    </xf>
    <xf numFmtId="0" fontId="0" fillId="0" borderId="65" xfId="0" applyBorder="1"/>
    <xf numFmtId="0" fontId="23" fillId="0" borderId="66" xfId="0" applyFont="1" applyBorder="1"/>
    <xf numFmtId="0" fontId="23" fillId="0" borderId="65" xfId="0" applyFont="1" applyBorder="1"/>
    <xf numFmtId="0" fontId="0" fillId="0" borderId="66" xfId="0" applyBorder="1"/>
    <xf numFmtId="0" fontId="10" fillId="0" borderId="0" xfId="0" applyFont="1"/>
    <xf numFmtId="0" fontId="4" fillId="0" borderId="66" xfId="0" applyFont="1" applyBorder="1"/>
    <xf numFmtId="0" fontId="4" fillId="0" borderId="65" xfId="0" applyFont="1" applyBorder="1"/>
    <xf numFmtId="0" fontId="3" fillId="0" borderId="0" xfId="0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9" fillId="0" borderId="22" xfId="0" applyFont="1" applyBorder="1"/>
    <xf numFmtId="0" fontId="30" fillId="0" borderId="43" xfId="0" applyFont="1" applyBorder="1" applyProtection="1">
      <protection locked="0"/>
    </xf>
    <xf numFmtId="0" fontId="29" fillId="0" borderId="0" xfId="0" applyFont="1"/>
    <xf numFmtId="0" fontId="0" fillId="0" borderId="0" xfId="0"/>
    <xf numFmtId="0" fontId="29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1" fillId="0" borderId="22" xfId="0" applyFont="1" applyBorder="1"/>
    <xf numFmtId="0" fontId="4" fillId="0" borderId="42" xfId="0" applyFont="1" applyBorder="1"/>
    <xf numFmtId="0" fontId="4" fillId="0" borderId="42" xfId="0" applyFont="1" applyBorder="1" applyProtection="1">
      <protection hidden="1"/>
    </xf>
    <xf numFmtId="0" fontId="32" fillId="0" borderId="42" xfId="0" applyFont="1" applyBorder="1"/>
    <xf numFmtId="0" fontId="4" fillId="0" borderId="43" xfId="0" applyFont="1" applyBorder="1"/>
    <xf numFmtId="2" fontId="31" fillId="0" borderId="42" xfId="0" applyNumberFormat="1" applyFont="1" applyBorder="1" applyAlignment="1">
      <alignment horizontal="center"/>
    </xf>
    <xf numFmtId="0" fontId="31" fillId="0" borderId="42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4" fillId="0" borderId="22" xfId="0" applyFont="1" applyBorder="1" applyAlignment="1">
      <alignment horizontal="left" vertical="center" indent="1"/>
    </xf>
    <xf numFmtId="0" fontId="4" fillId="0" borderId="42" xfId="0" applyFont="1" applyBorder="1" applyAlignment="1">
      <alignment horizontal="left" vertical="center" indent="1"/>
    </xf>
    <xf numFmtId="0" fontId="4" fillId="0" borderId="43" xfId="0" applyFont="1" applyBorder="1" applyAlignment="1">
      <alignment horizontal="left" vertical="center" indent="1"/>
    </xf>
    <xf numFmtId="0" fontId="31" fillId="6" borderId="22" xfId="2" applyFont="1" applyFill="1" applyBorder="1"/>
    <xf numFmtId="0" fontId="33" fillId="6" borderId="42" xfId="2" applyFont="1" applyFill="1" applyBorder="1"/>
    <xf numFmtId="1" fontId="33" fillId="0" borderId="42" xfId="2" applyNumberFormat="1" applyFont="1" applyBorder="1" applyAlignment="1">
      <alignment horizontal="center"/>
    </xf>
    <xf numFmtId="1" fontId="33" fillId="0" borderId="43" xfId="2" applyNumberFormat="1" applyFont="1" applyBorder="1" applyAlignment="1">
      <alignment horizontal="center"/>
    </xf>
    <xf numFmtId="0" fontId="33" fillId="6" borderId="22" xfId="2" applyFont="1" applyFill="1" applyBorder="1" applyAlignment="1">
      <alignment horizontal="left" vertical="center" indent="1"/>
    </xf>
    <xf numFmtId="0" fontId="33" fillId="6" borderId="42" xfId="2" applyFont="1" applyFill="1" applyBorder="1" applyAlignment="1">
      <alignment horizontal="left" vertical="center" indent="1"/>
    </xf>
    <xf numFmtId="0" fontId="33" fillId="6" borderId="43" xfId="2" applyFont="1" applyFill="1" applyBorder="1" applyAlignment="1">
      <alignment horizontal="left" vertical="center" indent="1"/>
    </xf>
    <xf numFmtId="0" fontId="0" fillId="0" borderId="0" xfId="0" applyAlignment="1">
      <alignment vertical="top"/>
    </xf>
    <xf numFmtId="0" fontId="33" fillId="0" borderId="42" xfId="2" applyFont="1" applyBorder="1" applyAlignment="1" applyProtection="1">
      <alignment horizontal="center" vertical="center"/>
      <protection locked="0"/>
    </xf>
    <xf numFmtId="0" fontId="33" fillId="0" borderId="43" xfId="2" applyFont="1" applyBorder="1" applyAlignment="1" applyProtection="1">
      <alignment horizontal="center" vertical="center"/>
      <protection locked="0"/>
    </xf>
    <xf numFmtId="0" fontId="35" fillId="6" borderId="22" xfId="2" applyFont="1" applyFill="1" applyBorder="1" applyAlignment="1">
      <alignment horizontal="left" vertical="center" indent="1"/>
    </xf>
    <xf numFmtId="0" fontId="35" fillId="6" borderId="42" xfId="2" applyFont="1" applyFill="1" applyBorder="1" applyAlignment="1">
      <alignment horizontal="left" vertical="center" indent="1"/>
    </xf>
    <xf numFmtId="0" fontId="35" fillId="6" borderId="43" xfId="2" applyFont="1" applyFill="1" applyBorder="1" applyAlignment="1">
      <alignment horizontal="left" vertical="center" indent="1"/>
    </xf>
    <xf numFmtId="0" fontId="4" fillId="0" borderId="0" xfId="0" quotePrefix="1" applyFont="1"/>
    <xf numFmtId="0" fontId="31" fillId="6" borderId="14" xfId="2" applyFont="1" applyFill="1" applyBorder="1"/>
    <xf numFmtId="0" fontId="4" fillId="0" borderId="0" xfId="0" applyFont="1" applyProtection="1">
      <protection hidden="1"/>
    </xf>
    <xf numFmtId="0" fontId="32" fillId="0" borderId="0" xfId="0" applyFont="1"/>
    <xf numFmtId="0" fontId="4" fillId="0" borderId="15" xfId="0" applyFont="1" applyBorder="1"/>
    <xf numFmtId="1" fontId="4" fillId="0" borderId="42" xfId="0" applyNumberFormat="1" applyFont="1" applyBorder="1" applyAlignment="1">
      <alignment horizontal="center"/>
    </xf>
    <xf numFmtId="0" fontId="4" fillId="0" borderId="22" xfId="0" applyFont="1" applyBorder="1" applyAlignment="1">
      <alignment horizontal="left" indent="1"/>
    </xf>
    <xf numFmtId="0" fontId="4" fillId="0" borderId="42" xfId="0" applyFont="1" applyBorder="1" applyAlignment="1">
      <alignment horizontal="left" indent="1"/>
    </xf>
    <xf numFmtId="0" fontId="4" fillId="0" borderId="43" xfId="0" applyFont="1" applyBorder="1" applyAlignment="1">
      <alignment horizontal="left" indent="1"/>
    </xf>
    <xf numFmtId="0" fontId="36" fillId="6" borderId="42" xfId="2" applyFont="1" applyFill="1" applyBorder="1"/>
    <xf numFmtId="164" fontId="4" fillId="0" borderId="14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32" fillId="0" borderId="0" xfId="0" applyFont="1" applyAlignment="1">
      <alignment horizontal="right"/>
    </xf>
    <xf numFmtId="166" fontId="4" fillId="0" borderId="0" xfId="0" applyNumberFormat="1" applyFont="1"/>
    <xf numFmtId="0" fontId="0" fillId="0" borderId="0" xfId="0" applyAlignment="1">
      <alignment horizontal="center"/>
    </xf>
    <xf numFmtId="166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0" fillId="0" borderId="0" xfId="0" quotePrefix="1"/>
  </cellXfs>
  <cellStyles count="3">
    <cellStyle name="Comma" xfId="1" builtinId="3"/>
    <cellStyle name="Normal" xfId="0" builtinId="0"/>
    <cellStyle name="Normal_Venting" xfId="2" xr:uid="{7AD0BE25-9AE9-4F5F-88F1-70CB095ADB76}"/>
  </cellStyles>
  <dxfs count="8">
    <dxf>
      <font>
        <color rgb="FFFF000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>
        <left/>
        <right/>
        <top style="hair">
          <color auto="1"/>
        </top>
        <bottom/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77</xdr:col>
      <xdr:colOff>89681</xdr:colOff>
      <xdr:row>125</xdr:row>
      <xdr:rowOff>21689</xdr:rowOff>
    </xdr:from>
    <xdr:to>
      <xdr:col>82</xdr:col>
      <xdr:colOff>79201</xdr:colOff>
      <xdr:row>127</xdr:row>
      <xdr:rowOff>5141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69559B-24F9-4ED3-BC36-ED68177E5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5321" y="19864169"/>
          <a:ext cx="942020" cy="303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5604</xdr:colOff>
      <xdr:row>115</xdr:row>
      <xdr:rowOff>157655</xdr:rowOff>
    </xdr:from>
    <xdr:to>
      <xdr:col>94</xdr:col>
      <xdr:colOff>7551</xdr:colOff>
      <xdr:row>124</xdr:row>
      <xdr:rowOff>39414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80852A-130A-4379-9B21-8E74166C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1244" y="18399935"/>
          <a:ext cx="3263307" cy="1321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170794</xdr:colOff>
      <xdr:row>124</xdr:row>
      <xdr:rowOff>36177</xdr:rowOff>
    </xdr:from>
    <xdr:to>
      <xdr:col>89</xdr:col>
      <xdr:colOff>11495</xdr:colOff>
      <xdr:row>127</xdr:row>
      <xdr:rowOff>32517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DB92F8-DE66-4638-AA85-B468CD53A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9434" y="19718637"/>
          <a:ext cx="1006561" cy="4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184045</xdr:colOff>
      <xdr:row>124</xdr:row>
      <xdr:rowOff>111673</xdr:rowOff>
    </xdr:from>
    <xdr:to>
      <xdr:col>96</xdr:col>
      <xdr:colOff>189350</xdr:colOff>
      <xdr:row>127</xdr:row>
      <xdr:rowOff>3009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1656D5-0606-4733-AB1A-490EF53F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5185" y="19794133"/>
          <a:ext cx="1567405" cy="371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1</xdr:colOff>
      <xdr:row>99</xdr:row>
      <xdr:rowOff>43962</xdr:rowOff>
    </xdr:from>
    <xdr:to>
      <xdr:col>132</xdr:col>
      <xdr:colOff>188303</xdr:colOff>
      <xdr:row>108</xdr:row>
      <xdr:rowOff>43962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EE469C71-91F5-404E-9D19-4257E08AE5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62" t="19043" r="16069" b="43989"/>
        <a:stretch/>
      </xdr:blipFill>
      <xdr:spPr bwMode="auto">
        <a:xfrm>
          <a:off x="21922741" y="15725922"/>
          <a:ext cx="3556342" cy="1440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114</xdr:col>
      <xdr:colOff>146538</xdr:colOff>
      <xdr:row>109</xdr:row>
      <xdr:rowOff>8659</xdr:rowOff>
    </xdr:from>
    <xdr:to>
      <xdr:col>118</xdr:col>
      <xdr:colOff>64944</xdr:colOff>
      <xdr:row>110</xdr:row>
      <xdr:rowOff>51954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942310B-49D3-435F-B4F0-D590B6A358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254" r="4482" b="9344"/>
        <a:stretch/>
      </xdr:blipFill>
      <xdr:spPr bwMode="auto">
        <a:xfrm>
          <a:off x="21878778" y="17290819"/>
          <a:ext cx="680406" cy="203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43961</xdr:colOff>
      <xdr:row>108</xdr:row>
      <xdr:rowOff>153479</xdr:rowOff>
    </xdr:from>
    <xdr:to>
      <xdr:col>114</xdr:col>
      <xdr:colOff>175845</xdr:colOff>
      <xdr:row>110</xdr:row>
      <xdr:rowOff>9524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4F85AF-DFCA-4BF6-9D6F-0441AAFE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4201" y="17275619"/>
          <a:ext cx="893884" cy="176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110</xdr:col>
      <xdr:colOff>43962</xdr:colOff>
      <xdr:row>110</xdr:row>
      <xdr:rowOff>21980</xdr:rowOff>
    </xdr:from>
    <xdr:to>
      <xdr:col>114</xdr:col>
      <xdr:colOff>51009</xdr:colOff>
      <xdr:row>110</xdr:row>
      <xdr:rowOff>149467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7F2EB8-C4B2-40A1-9362-70D8EA4F7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4202" y="17464160"/>
          <a:ext cx="769047" cy="12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44623</xdr:colOff>
      <xdr:row>110</xdr:row>
      <xdr:rowOff>40633</xdr:rowOff>
    </xdr:from>
    <xdr:to>
      <xdr:col>117</xdr:col>
      <xdr:colOff>117892</xdr:colOff>
      <xdr:row>111</xdr:row>
      <xdr:rowOff>64080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E16D41-FD48-4432-835D-19EFB72A9A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39" r="5241" b="-1"/>
        <a:stretch/>
      </xdr:blipFill>
      <xdr:spPr bwMode="auto">
        <a:xfrm>
          <a:off x="21776863" y="17482813"/>
          <a:ext cx="644769" cy="183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104</xdr:col>
      <xdr:colOff>8284</xdr:colOff>
      <xdr:row>121</xdr:row>
      <xdr:rowOff>3412</xdr:rowOff>
    </xdr:from>
    <xdr:to>
      <xdr:col>109</xdr:col>
      <xdr:colOff>157371</xdr:colOff>
      <xdr:row>122</xdr:row>
      <xdr:rowOff>82825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ECEDC9-67A5-49A1-8A79-FA24DC163F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2" t="27921" r="5494" b="4482"/>
        <a:stretch/>
      </xdr:blipFill>
      <xdr:spPr bwMode="auto">
        <a:xfrm>
          <a:off x="19835524" y="19205812"/>
          <a:ext cx="1101587" cy="239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165653</xdr:colOff>
      <xdr:row>119</xdr:row>
      <xdr:rowOff>16328</xdr:rowOff>
    </xdr:from>
    <xdr:to>
      <xdr:col>132</xdr:col>
      <xdr:colOff>114714</xdr:colOff>
      <xdr:row>125</xdr:row>
      <xdr:rowOff>2484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37210B7-7EE0-4A32-8EF9-96D273DE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88393" y="18898688"/>
          <a:ext cx="3317101" cy="946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138</xdr:col>
      <xdr:colOff>84212</xdr:colOff>
      <xdr:row>93</xdr:row>
      <xdr:rowOff>119933</xdr:rowOff>
    </xdr:from>
    <xdr:to>
      <xdr:col>208</xdr:col>
      <xdr:colOff>105336</xdr:colOff>
      <xdr:row>106</xdr:row>
      <xdr:rowOff>123825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FC8B9F3-D354-45C3-AE77-A5F62746F0D4}"/>
            </a:ext>
          </a:extLst>
        </xdr:cNvPr>
        <xdr:cNvGrpSpPr/>
      </xdr:nvGrpSpPr>
      <xdr:grpSpPr>
        <a:xfrm>
          <a:off x="26519262" y="14724933"/>
          <a:ext cx="13292624" cy="2067642"/>
          <a:chOff x="25201637" y="15017033"/>
          <a:chExt cx="12651274" cy="2108917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CCEFA22E-E795-2C6E-F70B-B73BE07606F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500" t="16333" r="1000" b="16994"/>
          <a:stretch/>
        </xdr:blipFill>
        <xdr:spPr bwMode="auto">
          <a:xfrm>
            <a:off x="31251525" y="15555548"/>
            <a:ext cx="1533525" cy="4369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624DA513-A23E-E41A-3924-3CAD2B0F817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15" t="5373" r="2725" b="5074"/>
          <a:stretch/>
        </xdr:blipFill>
        <xdr:spPr bwMode="auto">
          <a:xfrm>
            <a:off x="32943052" y="15017033"/>
            <a:ext cx="4909859" cy="156039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B3D50A4B-7F1F-0408-3618-388BE63821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201637" y="16130868"/>
            <a:ext cx="5107227" cy="91888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1B1EFB06-2A06-C410-9873-41A894067F0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051500" y="16773525"/>
            <a:ext cx="1438275" cy="3524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D5BEF31A-C968-A24D-9DEF-A5005041F4E1}"/>
              </a:ext>
            </a:extLst>
          </xdr:cNvPr>
          <xdr:cNvCxnSpPr>
            <a:endCxn id="15" idx="1"/>
          </xdr:cNvCxnSpPr>
        </xdr:nvCxnSpPr>
        <xdr:spPr>
          <a:xfrm flipV="1">
            <a:off x="30108525" y="15774011"/>
            <a:ext cx="1143000" cy="80901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1856CF86-150C-6327-D6BF-8AD206C5B920}"/>
              </a:ext>
            </a:extLst>
          </xdr:cNvPr>
          <xdr:cNvCxnSpPr>
            <a:endCxn id="15" idx="1"/>
          </xdr:cNvCxnSpPr>
        </xdr:nvCxnSpPr>
        <xdr:spPr>
          <a:xfrm flipV="1">
            <a:off x="30146625" y="15774011"/>
            <a:ext cx="1104900" cy="999514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C3756F60-6A45-2E7B-F05C-7B7070751B94}"/>
              </a:ext>
            </a:extLst>
          </xdr:cNvPr>
          <xdr:cNvCxnSpPr>
            <a:endCxn id="18" idx="1"/>
          </xdr:cNvCxnSpPr>
        </xdr:nvCxnSpPr>
        <xdr:spPr>
          <a:xfrm>
            <a:off x="30099000" y="16916400"/>
            <a:ext cx="952500" cy="33338"/>
          </a:xfrm>
          <a:prstGeom prst="straightConnector1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6008353\Downloads\Venting\MEV2000_REV1.xlsx" TargetMode="External"/><Relationship Id="rId1" Type="http://schemas.openxmlformats.org/officeDocument/2006/relationships/externalLinkPath" Target="MEV2000_RE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cryfsme01\PTTMEFS\Users\26004890\Desktop\ProcessEngineeringDocument\tank%20and%20vessel\Draft_surface%20area%20and%20volume_vertical%20vessels%23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"/>
      <sheetName val="Tank Venting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 Note"/>
      <sheetName val="Instruction"/>
      <sheetName val="surface and volume cal"/>
      <sheetName val="Instruction 1"/>
      <sheetName val="Instruction 2"/>
    </sheetNames>
    <sheetDataSet>
      <sheetData sheetId="0"/>
      <sheetData sheetId="1"/>
      <sheetData sheetId="2">
        <row r="15">
          <cell r="BR15" t="str">
            <v>code16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2634-1D0C-4DE1-BCC7-D977C3F846BB}">
  <sheetPr codeName="Sheet2">
    <pageSetUpPr fitToPage="1"/>
  </sheetPr>
  <dimension ref="A1:FX136"/>
  <sheetViews>
    <sheetView tabSelected="1" zoomScale="120" zoomScaleNormal="120" zoomScaleSheetLayoutView="40" workbookViewId="0">
      <selection activeCell="AP6" sqref="AP6"/>
    </sheetView>
  </sheetViews>
  <sheetFormatPr defaultColWidth="2.77734375" defaultRowHeight="12.9" customHeight="1" x14ac:dyDescent="0.3"/>
  <cols>
    <col min="1" max="2" width="2.6640625" customWidth="1"/>
    <col min="5" max="16" width="2.77734375" customWidth="1"/>
    <col min="21" max="34" width="2.77734375" customWidth="1"/>
    <col min="40" max="40" width="2.6640625" customWidth="1"/>
    <col min="42" max="88" width="2.77734375" customWidth="1"/>
    <col min="89" max="89" width="3.109375" customWidth="1"/>
    <col min="90" max="94" width="2.77734375" customWidth="1"/>
    <col min="95" max="95" width="3" customWidth="1"/>
    <col min="96" max="130" width="2.77734375" customWidth="1"/>
    <col min="131" max="131" width="4.6640625" customWidth="1"/>
    <col min="132" max="154" width="2.77734375" customWidth="1"/>
    <col min="155" max="156" width="2.77734375" style="5" customWidth="1"/>
    <col min="157" max="157" width="2.77734375" customWidth="1"/>
    <col min="158" max="163" width="2.77734375" style="6" customWidth="1"/>
    <col min="164" max="165" width="2.33203125" customWidth="1"/>
    <col min="166" max="213" width="2.77734375" customWidth="1"/>
  </cols>
  <sheetData>
    <row r="1" spans="1:165" ht="12.9" customHeight="1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CB1" s="3"/>
      <c r="CC1" s="4" t="s">
        <v>0</v>
      </c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65" s="4" customFormat="1" ht="12.9" customHeight="1" x14ac:dyDescent="0.2">
      <c r="A2" s="7"/>
      <c r="B2" s="8" t="s">
        <v>1</v>
      </c>
      <c r="C2" s="9" t="s">
        <v>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7"/>
      <c r="CC2" s="4" t="s">
        <v>3</v>
      </c>
      <c r="CG2" s="12" t="e">
        <f>(AH19/Q19)*1000</f>
        <v>#DIV/0!</v>
      </c>
      <c r="CH2" s="12"/>
      <c r="CI2" s="12"/>
      <c r="EY2" s="13"/>
      <c r="EZ2" s="13"/>
      <c r="FB2" s="6"/>
      <c r="FC2" s="6"/>
      <c r="FD2" s="6"/>
      <c r="FE2" s="6"/>
      <c r="FF2" s="6"/>
      <c r="FG2" s="6"/>
      <c r="FH2" s="6"/>
      <c r="FI2" s="6"/>
    </row>
    <row r="3" spans="1:165" s="4" customFormat="1" ht="12.9" customHeight="1" x14ac:dyDescent="0.2">
      <c r="A3" s="7"/>
      <c r="B3" s="8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7"/>
      <c r="AN3" s="7"/>
      <c r="CJ3" s="12" t="s">
        <v>4</v>
      </c>
      <c r="CK3" s="12"/>
      <c r="CL3" s="12"/>
      <c r="CM3" s="12"/>
      <c r="CN3" s="12"/>
      <c r="CO3" s="12"/>
      <c r="CP3" s="12"/>
      <c r="CQ3" s="12"/>
      <c r="CR3" s="12"/>
      <c r="CS3" s="12" t="s">
        <v>5</v>
      </c>
      <c r="CT3" s="12"/>
      <c r="CU3" s="12"/>
      <c r="CV3" s="12"/>
      <c r="CW3" s="12"/>
      <c r="CX3" s="12"/>
      <c r="DA3" s="4" t="s">
        <v>6</v>
      </c>
      <c r="DE3" s="4" t="s">
        <v>7</v>
      </c>
      <c r="EY3" s="13"/>
      <c r="EZ3" s="13"/>
      <c r="FB3" s="6"/>
      <c r="FC3" s="6"/>
      <c r="FD3" s="6"/>
      <c r="FE3" s="6"/>
      <c r="FF3" s="6"/>
      <c r="FG3" s="6"/>
      <c r="FH3" s="6"/>
      <c r="FI3" s="6"/>
    </row>
    <row r="4" spans="1:165" s="4" customFormat="1" ht="12.9" customHeight="1" x14ac:dyDescent="0.2">
      <c r="A4" s="7"/>
      <c r="B4" s="8"/>
      <c r="C4" s="18"/>
      <c r="D4" s="19" t="s">
        <v>8</v>
      </c>
      <c r="E4" s="19"/>
      <c r="F4" s="19"/>
      <c r="G4" s="19"/>
      <c r="H4" s="20"/>
      <c r="I4" s="20"/>
      <c r="J4" s="20"/>
      <c r="K4" s="20"/>
      <c r="L4" s="20"/>
      <c r="M4" s="20"/>
      <c r="N4" s="20"/>
      <c r="O4" s="19"/>
      <c r="P4" s="19"/>
      <c r="Q4" s="19" t="s">
        <v>9</v>
      </c>
      <c r="R4" s="19"/>
      <c r="S4" s="19"/>
      <c r="T4" s="19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9"/>
      <c r="AI4" s="19"/>
      <c r="AJ4" s="19"/>
      <c r="AK4" s="19"/>
      <c r="AL4" s="19"/>
      <c r="AM4" s="21"/>
      <c r="AN4" s="7"/>
      <c r="CC4" s="4" t="s">
        <v>10</v>
      </c>
      <c r="DE4" s="22">
        <v>1</v>
      </c>
      <c r="DF4" s="22"/>
      <c r="EY4" s="13"/>
      <c r="EZ4" s="13"/>
      <c r="FB4" s="6"/>
      <c r="FC4" s="6"/>
      <c r="FD4" s="6"/>
      <c r="FE4" s="6"/>
      <c r="FF4" s="6"/>
      <c r="FG4" s="6"/>
    </row>
    <row r="5" spans="1:165" s="4" customFormat="1" ht="12.9" customHeight="1" x14ac:dyDescent="0.2">
      <c r="A5" s="7"/>
      <c r="B5" s="8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5"/>
      <c r="AN5" s="7"/>
      <c r="BL5" s="4" t="s">
        <v>11</v>
      </c>
      <c r="CC5" s="4" t="s">
        <v>12</v>
      </c>
      <c r="CJ5" s="22">
        <v>1.9</v>
      </c>
      <c r="CK5" s="22"/>
      <c r="CL5" s="22"/>
      <c r="CM5" s="22"/>
      <c r="CN5" s="22"/>
      <c r="CO5" s="22"/>
      <c r="CP5" s="22"/>
      <c r="CQ5" s="22"/>
      <c r="CS5" s="26">
        <v>305</v>
      </c>
      <c r="CT5" s="26"/>
      <c r="CU5" s="26"/>
      <c r="CV5" s="26"/>
      <c r="CW5" s="26"/>
      <c r="CX5" s="26"/>
      <c r="CZ5" s="4">
        <v>1</v>
      </c>
      <c r="DA5" s="22">
        <f t="shared" ref="DA5:DA11" si="0">(CJ5/CS5)*1000</f>
        <v>6.2295081967213113</v>
      </c>
      <c r="DB5" s="22"/>
      <c r="DE5" s="22">
        <v>2.5000000000000001E-2</v>
      </c>
      <c r="DF5" s="22"/>
      <c r="DG5" s="4">
        <v>1</v>
      </c>
      <c r="DK5" s="12" t="e">
        <f>IF(OR(M18=BL5,M18=BL9,M18=BL10),DE4,IF(M18=BL11,DE12,IF(M18=BL12,DE13,IF(M18=BL13,DE14,VLOOKUP(CG2,DA5:DG11,5)+(((VLOOKUP(VLOOKUP(CG2,DA5:DG11,7)+1,CZ5:DF11,6)-VLOOKUP(CG2,DA5:DG11,5))/(VLOOKUP(VLOOKUP(CG2,DA5:DG11,7)+1,CZ5:DF11,2)-VLOOKUP(CG2,DA5:DB11,1)))*(CG2-VLOOKUP(CG2,DA5:DB11,1)))))))</f>
        <v>#DIV/0!</v>
      </c>
      <c r="DL5" s="12"/>
      <c r="DM5" s="12"/>
      <c r="EY5" s="13"/>
      <c r="EZ5" s="13"/>
      <c r="FB5" s="6"/>
      <c r="FC5" s="6"/>
      <c r="FD5" s="6"/>
      <c r="FE5" s="6"/>
      <c r="FF5" s="6"/>
      <c r="FG5" s="6"/>
    </row>
    <row r="6" spans="1:165" s="4" customFormat="1" ht="12.9" customHeight="1" x14ac:dyDescent="0.2">
      <c r="A6" s="7"/>
      <c r="B6" s="8"/>
      <c r="C6" s="23"/>
      <c r="D6" s="27" t="s">
        <v>13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8"/>
      <c r="AM6" s="25"/>
      <c r="AN6" s="7"/>
      <c r="AW6" s="4" t="str">
        <f>IF(AD9="","",IF(AD9&lt;=BG102,AW7,AW8))</f>
        <v xml:space="preserve">Similar to Hexane </v>
      </c>
      <c r="BL6" s="4" t="s">
        <v>14</v>
      </c>
      <c r="CJ6" s="22">
        <v>2.2999999999999998</v>
      </c>
      <c r="CK6" s="22"/>
      <c r="CL6" s="22"/>
      <c r="CM6" s="22"/>
      <c r="CN6" s="22"/>
      <c r="CO6" s="22"/>
      <c r="CP6" s="22"/>
      <c r="CQ6" s="22"/>
      <c r="CS6" s="26">
        <v>254</v>
      </c>
      <c r="CT6" s="26"/>
      <c r="CU6" s="26"/>
      <c r="CV6" s="26"/>
      <c r="CW6" s="26"/>
      <c r="CX6" s="26"/>
      <c r="CZ6" s="4">
        <v>2</v>
      </c>
      <c r="DA6" s="22">
        <f t="shared" si="0"/>
        <v>9.0551181102362204</v>
      </c>
      <c r="DB6" s="22"/>
      <c r="DE6" s="22">
        <v>0.03</v>
      </c>
      <c r="DF6" s="22"/>
      <c r="DG6" s="4">
        <v>2</v>
      </c>
      <c r="EY6" s="13"/>
      <c r="EZ6" s="13"/>
      <c r="FB6" s="6"/>
      <c r="FC6" s="6"/>
      <c r="FD6" s="6"/>
      <c r="FE6" s="6"/>
      <c r="FF6" s="6"/>
      <c r="FG6" s="6"/>
    </row>
    <row r="7" spans="1:165" s="4" customFormat="1" ht="12.9" customHeight="1" x14ac:dyDescent="0.2">
      <c r="A7" s="7"/>
      <c r="B7" s="8"/>
      <c r="C7" s="23"/>
      <c r="D7" s="29"/>
      <c r="E7" s="30" t="s">
        <v>15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0" t="s">
        <v>16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31"/>
      <c r="AM7" s="25"/>
      <c r="AN7" s="7"/>
      <c r="AW7" s="32" t="s">
        <v>17</v>
      </c>
      <c r="AX7" s="33"/>
      <c r="AY7" s="33"/>
      <c r="AZ7" s="33"/>
      <c r="BL7" s="4" t="s">
        <v>18</v>
      </c>
      <c r="CJ7" s="22">
        <v>2.8</v>
      </c>
      <c r="CK7" s="22"/>
      <c r="CL7" s="22"/>
      <c r="CM7" s="22"/>
      <c r="CN7" s="22"/>
      <c r="CO7" s="22"/>
      <c r="CP7" s="22"/>
      <c r="CQ7" s="22"/>
      <c r="CS7" s="26">
        <v>203</v>
      </c>
      <c r="CT7" s="26"/>
      <c r="CU7" s="26"/>
      <c r="CV7" s="26"/>
      <c r="CW7" s="26"/>
      <c r="CX7" s="26"/>
      <c r="CZ7" s="4">
        <v>3</v>
      </c>
      <c r="DA7" s="22">
        <f t="shared" si="0"/>
        <v>13.793103448275861</v>
      </c>
      <c r="DB7" s="22"/>
      <c r="DE7" s="22">
        <v>3.7499999999999999E-2</v>
      </c>
      <c r="DF7" s="22"/>
      <c r="DG7" s="4">
        <v>3</v>
      </c>
      <c r="DK7" s="12" t="e">
        <f>VLOOKUP(CG2,DA5:DG11,5)+(((VLOOKUP(VLOOKUP(CG2,DA5:DG11,7)+1,CZ5:DF11,6)-VLOOKUP(CG2,DA5:DG11,5))/(VLOOKUP(VLOOKUP(CG2,DA5:DG11,7)+1,CZ5:DF11,2)-VLOOKUP(CG2,DA5:DB11,1)))*(CG2-VLOOKUP(CG2,DA5:DB11,1)))</f>
        <v>#DIV/0!</v>
      </c>
      <c r="DL7" s="12"/>
      <c r="DS7" s="34"/>
      <c r="EY7" s="13"/>
      <c r="EZ7" s="13"/>
      <c r="FB7" s="6"/>
      <c r="FC7" s="6"/>
      <c r="FD7" s="6"/>
      <c r="FE7" s="6"/>
      <c r="FF7" s="6"/>
      <c r="FG7" s="6"/>
    </row>
    <row r="8" spans="1:165" s="4" customFormat="1" ht="12.9" customHeight="1" x14ac:dyDescent="0.2">
      <c r="A8" s="7"/>
      <c r="B8" s="8"/>
      <c r="C8" s="23"/>
      <c r="D8" s="29"/>
      <c r="E8" s="24" t="s">
        <v>19</v>
      </c>
      <c r="F8" s="24"/>
      <c r="G8" s="24"/>
      <c r="H8" s="24"/>
      <c r="I8" s="24"/>
      <c r="J8" s="24"/>
      <c r="K8" s="24"/>
      <c r="L8" s="24"/>
      <c r="M8" s="24"/>
      <c r="N8" s="24"/>
      <c r="O8" s="35" t="s">
        <v>20</v>
      </c>
      <c r="P8" s="24"/>
      <c r="Q8" s="36">
        <v>24000</v>
      </c>
      <c r="R8" s="37"/>
      <c r="S8" s="37"/>
      <c r="T8" s="38"/>
      <c r="U8" s="24"/>
      <c r="V8" s="24" t="s">
        <v>21</v>
      </c>
      <c r="W8" s="24"/>
      <c r="X8" s="24"/>
      <c r="Y8" s="24"/>
      <c r="Z8" s="24"/>
      <c r="AA8" s="24"/>
      <c r="AB8" s="24"/>
      <c r="AC8" s="24"/>
      <c r="AD8" s="24"/>
      <c r="AE8" s="24"/>
      <c r="AF8" s="24" t="s">
        <v>22</v>
      </c>
      <c r="AG8" s="24"/>
      <c r="AH8" s="39">
        <v>35</v>
      </c>
      <c r="AI8" s="40"/>
      <c r="AJ8" s="40"/>
      <c r="AK8" s="41"/>
      <c r="AL8" s="31"/>
      <c r="AM8" s="25"/>
      <c r="AN8" s="7"/>
      <c r="AW8" s="32" t="s">
        <v>23</v>
      </c>
      <c r="AX8" s="42"/>
      <c r="AY8" s="42"/>
      <c r="AZ8" s="42"/>
      <c r="BL8" s="4" t="s">
        <v>24</v>
      </c>
      <c r="CJ8" s="22">
        <v>3.8</v>
      </c>
      <c r="CK8" s="22"/>
      <c r="CL8" s="22"/>
      <c r="CM8" s="22"/>
      <c r="CN8" s="22"/>
      <c r="CO8" s="22"/>
      <c r="CP8" s="22"/>
      <c r="CQ8" s="22"/>
      <c r="CS8" s="26">
        <v>152</v>
      </c>
      <c r="CT8" s="26"/>
      <c r="CU8" s="26"/>
      <c r="CV8" s="26"/>
      <c r="CW8" s="26"/>
      <c r="CX8" s="26"/>
      <c r="CZ8" s="4">
        <v>4</v>
      </c>
      <c r="DA8" s="22">
        <f t="shared" si="0"/>
        <v>24.999999999999996</v>
      </c>
      <c r="DB8" s="22"/>
      <c r="DE8" s="22">
        <v>0.05</v>
      </c>
      <c r="DF8" s="22"/>
      <c r="DG8" s="4">
        <v>4</v>
      </c>
      <c r="EY8" s="13"/>
      <c r="EZ8" s="13"/>
      <c r="FB8" s="6"/>
      <c r="FC8" s="6"/>
      <c r="FD8" s="6"/>
      <c r="FE8" s="6"/>
      <c r="FF8" s="6"/>
      <c r="FG8" s="6"/>
    </row>
    <row r="9" spans="1:165" s="4" customFormat="1" ht="12.9" customHeight="1" x14ac:dyDescent="0.2">
      <c r="A9" s="7"/>
      <c r="B9" s="8"/>
      <c r="C9" s="23"/>
      <c r="D9" s="29"/>
      <c r="E9" s="24" t="s">
        <v>25</v>
      </c>
      <c r="F9" s="24"/>
      <c r="G9" s="24"/>
      <c r="H9" s="24"/>
      <c r="I9" s="24"/>
      <c r="J9" s="24"/>
      <c r="K9" s="24"/>
      <c r="L9" s="24"/>
      <c r="M9" s="24"/>
      <c r="N9" s="24"/>
      <c r="O9" s="35" t="s">
        <v>20</v>
      </c>
      <c r="P9" s="24"/>
      <c r="Q9" s="36">
        <v>17500</v>
      </c>
      <c r="R9" s="37"/>
      <c r="S9" s="37"/>
      <c r="T9" s="38"/>
      <c r="U9" s="24"/>
      <c r="V9" s="24" t="s">
        <v>26</v>
      </c>
      <c r="W9" s="24"/>
      <c r="X9" s="24"/>
      <c r="Y9" s="24"/>
      <c r="Z9" s="24"/>
      <c r="AA9" s="24"/>
      <c r="AB9" s="24"/>
      <c r="AC9" s="24"/>
      <c r="AD9" s="43">
        <v>5.6</v>
      </c>
      <c r="AE9" s="44"/>
      <c r="AF9" s="45" t="s">
        <v>27</v>
      </c>
      <c r="AG9" s="24"/>
      <c r="AH9" s="46" t="str">
        <f>IF(AD9="","",IF(AD9&lt;=BG102,AW7,AW8))</f>
        <v xml:space="preserve">Similar to Hexane </v>
      </c>
      <c r="AI9" s="47"/>
      <c r="AJ9" s="47"/>
      <c r="AK9" s="48"/>
      <c r="AL9" s="31"/>
      <c r="AM9" s="25"/>
      <c r="AN9" s="7"/>
      <c r="AW9" s="49" t="s">
        <v>28</v>
      </c>
      <c r="AX9" s="49"/>
      <c r="AY9" s="49"/>
      <c r="AZ9" s="49"/>
      <c r="BL9" s="4" t="s">
        <v>29</v>
      </c>
      <c r="CJ9" s="22">
        <v>5.7</v>
      </c>
      <c r="CK9" s="22"/>
      <c r="CL9" s="22"/>
      <c r="CM9" s="22"/>
      <c r="CN9" s="22"/>
      <c r="CO9" s="22"/>
      <c r="CP9" s="22"/>
      <c r="CQ9" s="22"/>
      <c r="CS9" s="26">
        <v>102</v>
      </c>
      <c r="CT9" s="26"/>
      <c r="CU9" s="26"/>
      <c r="CV9" s="26"/>
      <c r="CW9" s="26"/>
      <c r="CX9" s="26"/>
      <c r="CZ9" s="4">
        <v>5</v>
      </c>
      <c r="DA9" s="22">
        <f t="shared" si="0"/>
        <v>55.882352941176471</v>
      </c>
      <c r="DB9" s="22"/>
      <c r="DE9" s="22">
        <v>7.4999999999999997E-2</v>
      </c>
      <c r="DF9" s="22"/>
      <c r="DG9" s="4">
        <v>5</v>
      </c>
      <c r="EY9" s="13"/>
      <c r="EZ9" s="13"/>
      <c r="FB9" s="6"/>
      <c r="FC9" s="6"/>
      <c r="FD9" s="6"/>
      <c r="FE9" s="6"/>
      <c r="FF9" s="6"/>
      <c r="FG9" s="6"/>
    </row>
    <row r="10" spans="1:165" s="4" customFormat="1" ht="12.9" customHeight="1" x14ac:dyDescent="0.2">
      <c r="A10" s="7"/>
      <c r="B10" s="8"/>
      <c r="C10" s="23"/>
      <c r="D10" s="29"/>
      <c r="E10" s="24" t="s">
        <v>30</v>
      </c>
      <c r="F10" s="24"/>
      <c r="G10" s="24"/>
      <c r="H10" s="24"/>
      <c r="I10" s="24"/>
      <c r="J10" s="24"/>
      <c r="K10" s="24"/>
      <c r="L10" s="24"/>
      <c r="M10" s="24"/>
      <c r="N10" s="24"/>
      <c r="O10" s="35" t="s">
        <v>31</v>
      </c>
      <c r="P10" s="24"/>
      <c r="Q10" s="50">
        <f>IF(OR(Q8="",Q9=""),"",(PI()*(Q8/2)^2*Q9)/(10^9))</f>
        <v>7916.8134870462782</v>
      </c>
      <c r="R10" s="51"/>
      <c r="S10" s="51"/>
      <c r="T10" s="52"/>
      <c r="U10" s="24"/>
      <c r="V10" s="53" t="s">
        <v>32</v>
      </c>
      <c r="W10" s="53"/>
      <c r="X10" s="53"/>
      <c r="Y10" s="53"/>
      <c r="Z10" s="53"/>
      <c r="AA10" s="53"/>
      <c r="AB10" s="53"/>
      <c r="AC10" s="24"/>
      <c r="AD10" s="54"/>
      <c r="AE10" s="54"/>
      <c r="AF10" s="55" t="s">
        <v>22</v>
      </c>
      <c r="AG10" s="24"/>
      <c r="AH10" s="56"/>
      <c r="AI10" s="57"/>
      <c r="AJ10" s="57"/>
      <c r="AK10" s="58"/>
      <c r="AL10" s="31"/>
      <c r="AM10" s="25"/>
      <c r="AN10" s="7"/>
      <c r="AS10" s="4" t="str">
        <f>IF(OR(M18="Insulated tank - Fully Insulation",M18="Insulated tank - Partial
                    Insulation",M18="Concrete tank or Fire proofing"),"false","true")</f>
        <v>true</v>
      </c>
      <c r="AT10" s="59"/>
      <c r="AU10" s="4" t="s">
        <v>33</v>
      </c>
      <c r="BL10" s="4" t="s">
        <v>34</v>
      </c>
      <c r="CJ10" s="22">
        <v>11.4</v>
      </c>
      <c r="CK10" s="22"/>
      <c r="CL10" s="22"/>
      <c r="CM10" s="22"/>
      <c r="CN10" s="22"/>
      <c r="CO10" s="22"/>
      <c r="CP10" s="22"/>
      <c r="CQ10" s="22"/>
      <c r="CS10" s="26">
        <v>51</v>
      </c>
      <c r="CT10" s="26"/>
      <c r="CU10" s="26"/>
      <c r="CV10" s="26"/>
      <c r="CW10" s="26"/>
      <c r="CX10" s="26"/>
      <c r="CZ10" s="4">
        <v>6</v>
      </c>
      <c r="DA10" s="22">
        <f t="shared" si="0"/>
        <v>223.52941176470588</v>
      </c>
      <c r="DB10" s="22"/>
      <c r="DE10" s="22">
        <v>0.15</v>
      </c>
      <c r="DF10" s="22"/>
      <c r="DG10" s="4">
        <v>6</v>
      </c>
      <c r="EY10" s="13"/>
      <c r="EZ10" s="13"/>
      <c r="FB10" s="6"/>
      <c r="FC10" s="6"/>
      <c r="FD10" s="6"/>
      <c r="FE10" s="6"/>
      <c r="FF10" s="6"/>
      <c r="FG10" s="6"/>
    </row>
    <row r="11" spans="1:165" s="4" customFormat="1" ht="12.9" customHeight="1" x14ac:dyDescent="0.2">
      <c r="A11" s="7"/>
      <c r="B11" s="8"/>
      <c r="C11" s="23"/>
      <c r="D11" s="29"/>
      <c r="E11" s="24" t="s">
        <v>35</v>
      </c>
      <c r="F11" s="24"/>
      <c r="G11" s="24"/>
      <c r="H11" s="24"/>
      <c r="I11" s="24"/>
      <c r="J11" s="24"/>
      <c r="K11" s="24"/>
      <c r="L11" s="24"/>
      <c r="M11" s="24"/>
      <c r="N11" s="24"/>
      <c r="O11" s="35" t="s">
        <v>36</v>
      </c>
      <c r="P11" s="24"/>
      <c r="Q11" s="50">
        <f>IF(OR(Q8="",Q9=""),"",(2*PI()*(Q8/2)*Q9)/10^6)</f>
        <v>1319.4689145077132</v>
      </c>
      <c r="R11" s="51"/>
      <c r="S11" s="51"/>
      <c r="T11" s="52"/>
      <c r="U11" s="24"/>
      <c r="V11" s="24" t="s">
        <v>37</v>
      </c>
      <c r="W11" s="24"/>
      <c r="X11" s="24"/>
      <c r="Y11" s="24"/>
      <c r="Z11" s="24"/>
      <c r="AA11" s="24"/>
      <c r="AB11" s="24"/>
      <c r="AC11" s="24"/>
      <c r="AD11" s="24"/>
      <c r="AE11" s="24"/>
      <c r="AF11" s="35" t="s">
        <v>38</v>
      </c>
      <c r="AG11" s="60" t="s">
        <v>39</v>
      </c>
      <c r="AH11" s="39"/>
      <c r="AI11" s="40"/>
      <c r="AJ11" s="40"/>
      <c r="AK11" s="41"/>
      <c r="AL11" s="31"/>
      <c r="AM11" s="25"/>
      <c r="AN11" s="7"/>
      <c r="AS11" s="4" t="str">
        <f>IF(M18="Insulated tank - Partial Insulation","false","true")</f>
        <v>false</v>
      </c>
      <c r="AU11" s="4" t="s">
        <v>40</v>
      </c>
      <c r="AW11" s="4" t="s">
        <v>41</v>
      </c>
      <c r="BL11" s="4" t="s">
        <v>42</v>
      </c>
      <c r="CJ11" s="22">
        <v>22.7</v>
      </c>
      <c r="CK11" s="22"/>
      <c r="CL11" s="22"/>
      <c r="CM11" s="22"/>
      <c r="CN11" s="22"/>
      <c r="CO11" s="22"/>
      <c r="CP11" s="22"/>
      <c r="CQ11" s="22"/>
      <c r="CS11" s="26">
        <v>25</v>
      </c>
      <c r="CT11" s="26"/>
      <c r="CU11" s="26"/>
      <c r="CV11" s="26"/>
      <c r="CW11" s="26"/>
      <c r="CX11" s="26"/>
      <c r="CZ11" s="4">
        <v>7</v>
      </c>
      <c r="DA11" s="22">
        <f t="shared" si="0"/>
        <v>907.99999999999989</v>
      </c>
      <c r="DB11" s="22"/>
      <c r="DE11" s="22">
        <v>0.3</v>
      </c>
      <c r="DF11" s="22"/>
      <c r="DG11" s="4">
        <v>7</v>
      </c>
      <c r="EY11" s="13"/>
      <c r="EZ11" s="13"/>
      <c r="FB11" s="6"/>
      <c r="FC11" s="6"/>
      <c r="FD11" s="6"/>
      <c r="FE11" s="6"/>
      <c r="FF11" s="6"/>
      <c r="FG11" s="6"/>
    </row>
    <row r="12" spans="1:165" s="4" customFormat="1" ht="12.9" customHeight="1" x14ac:dyDescent="0.2">
      <c r="A12" s="7"/>
      <c r="B12" s="8"/>
      <c r="C12" s="23"/>
      <c r="D12" s="29"/>
      <c r="E12" s="24" t="s">
        <v>43</v>
      </c>
      <c r="F12" s="24"/>
      <c r="G12" s="24"/>
      <c r="H12" s="24"/>
      <c r="I12" s="24"/>
      <c r="J12" s="24"/>
      <c r="K12" s="24"/>
      <c r="L12" s="24"/>
      <c r="M12" s="24"/>
      <c r="N12" s="24"/>
      <c r="O12" s="35" t="s">
        <v>36</v>
      </c>
      <c r="P12" s="24"/>
      <c r="Q12" s="50">
        <f>IF(OR(Q8="",Q9="",Q11=""),"",IF(Q9&gt;9144,PI()*Q8*9144/10^6,Q11))</f>
        <v>689.44135738620162</v>
      </c>
      <c r="R12" s="51"/>
      <c r="S12" s="51"/>
      <c r="T12" s="52"/>
      <c r="U12" s="24"/>
      <c r="V12" s="24" t="s">
        <v>44</v>
      </c>
      <c r="W12" s="24"/>
      <c r="X12" s="24"/>
      <c r="Y12" s="24"/>
      <c r="Z12" s="24"/>
      <c r="AA12" s="24"/>
      <c r="AB12" s="24"/>
      <c r="AC12" s="24"/>
      <c r="AD12" s="24"/>
      <c r="AE12" s="24"/>
      <c r="AF12" s="24" t="s">
        <v>22</v>
      </c>
      <c r="AG12" s="60" t="s">
        <v>39</v>
      </c>
      <c r="AH12" s="43"/>
      <c r="AI12" s="61"/>
      <c r="AJ12" s="61"/>
      <c r="AK12" s="44"/>
      <c r="AL12" s="31"/>
      <c r="AM12" s="25"/>
      <c r="AN12" s="7"/>
      <c r="AW12" s="4" t="s">
        <v>45</v>
      </c>
      <c r="BL12" s="4" t="s">
        <v>46</v>
      </c>
      <c r="CC12" s="4" t="s">
        <v>47</v>
      </c>
      <c r="DE12" s="22">
        <v>0</v>
      </c>
      <c r="DF12" s="22"/>
      <c r="EV12" s="6"/>
      <c r="EY12" s="13"/>
      <c r="EZ12" s="13"/>
      <c r="FB12" s="6"/>
      <c r="FC12" s="6"/>
      <c r="FD12" s="6"/>
      <c r="FE12" s="6"/>
      <c r="FF12" s="6"/>
      <c r="FG12" s="6"/>
    </row>
    <row r="13" spans="1:165" s="4" customFormat="1" ht="12.9" customHeight="1" x14ac:dyDescent="0.2">
      <c r="A13" s="7"/>
      <c r="B13" s="8"/>
      <c r="C13" s="23"/>
      <c r="D13" s="29"/>
      <c r="E13" s="24" t="s">
        <v>48</v>
      </c>
      <c r="F13" s="24"/>
      <c r="G13" s="24"/>
      <c r="H13" s="24"/>
      <c r="I13" s="24"/>
      <c r="J13" s="24"/>
      <c r="K13" s="24"/>
      <c r="L13" s="24"/>
      <c r="M13" s="24"/>
      <c r="N13" s="24"/>
      <c r="O13" s="62" t="s">
        <v>49</v>
      </c>
      <c r="P13" s="24"/>
      <c r="Q13" s="43">
        <v>12.7</v>
      </c>
      <c r="R13" s="61"/>
      <c r="S13" s="61"/>
      <c r="T13" s="44"/>
      <c r="U13" s="24"/>
      <c r="V13" s="24" t="s">
        <v>50</v>
      </c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60" t="s">
        <v>39</v>
      </c>
      <c r="AH13" s="39"/>
      <c r="AI13" s="40"/>
      <c r="AJ13" s="40"/>
      <c r="AK13" s="41"/>
      <c r="AL13" s="31"/>
      <c r="AM13" s="25"/>
      <c r="AN13" s="7"/>
      <c r="AW13" s="4" t="s">
        <v>28</v>
      </c>
      <c r="BL13" s="4" t="s">
        <v>51</v>
      </c>
      <c r="CC13" s="4" t="s">
        <v>52</v>
      </c>
      <c r="DE13" s="22">
        <v>0.3</v>
      </c>
      <c r="DF13" s="22"/>
      <c r="EV13" s="6"/>
      <c r="EY13" s="13"/>
      <c r="EZ13" s="13"/>
      <c r="FB13" s="6"/>
      <c r="FC13" s="6"/>
      <c r="FD13" s="6"/>
      <c r="FE13" s="6"/>
      <c r="FF13" s="6"/>
      <c r="FG13" s="6"/>
    </row>
    <row r="14" spans="1:165" s="4" customFormat="1" ht="12.9" customHeight="1" x14ac:dyDescent="0.2">
      <c r="A14" s="7"/>
      <c r="B14" s="8"/>
      <c r="C14" s="23"/>
      <c r="D14" s="29"/>
      <c r="E14" s="24" t="s">
        <v>53</v>
      </c>
      <c r="F14" s="24"/>
      <c r="G14" s="24"/>
      <c r="H14" s="24"/>
      <c r="I14" s="24"/>
      <c r="J14" s="24"/>
      <c r="K14" s="24"/>
      <c r="L14" s="24"/>
      <c r="M14" s="24"/>
      <c r="N14" s="24"/>
      <c r="O14" s="35" t="s">
        <v>54</v>
      </c>
      <c r="P14" s="24"/>
      <c r="Q14" s="43">
        <v>101.32</v>
      </c>
      <c r="R14" s="61"/>
      <c r="S14" s="61"/>
      <c r="T14" s="44"/>
      <c r="U14" s="24"/>
      <c r="V14" s="4" t="s">
        <v>55</v>
      </c>
      <c r="Z14" s="24"/>
      <c r="AA14" s="24"/>
      <c r="AB14" s="24"/>
      <c r="AC14" s="24"/>
      <c r="AD14" s="24"/>
      <c r="AE14" s="24"/>
      <c r="AF14" s="24"/>
      <c r="AG14" s="24"/>
      <c r="AH14" s="55"/>
      <c r="AI14" s="55"/>
      <c r="AJ14" s="55"/>
      <c r="AK14" s="55"/>
      <c r="AL14" s="31"/>
      <c r="AM14" s="25"/>
      <c r="AN14" s="7"/>
      <c r="AS14" s="4" t="str">
        <f>IF(Q14&gt;103.4,"true","false")</f>
        <v>false</v>
      </c>
      <c r="CC14" s="4" t="s">
        <v>56</v>
      </c>
      <c r="DE14" s="22">
        <v>0.5</v>
      </c>
      <c r="DF14" s="22"/>
      <c r="EV14" s="6"/>
      <c r="EY14" s="13"/>
      <c r="EZ14" s="13"/>
      <c r="FB14" s="6"/>
      <c r="FC14" s="6"/>
      <c r="FD14" s="6"/>
      <c r="FE14" s="6"/>
      <c r="FF14" s="6"/>
      <c r="FG14" s="6"/>
      <c r="FH14" s="6"/>
    </row>
    <row r="15" spans="1:165" s="4" customFormat="1" ht="12.9" customHeight="1" x14ac:dyDescent="0.2">
      <c r="A15" s="7"/>
      <c r="B15" s="8"/>
      <c r="C15" s="23"/>
      <c r="D15" s="29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63" t="s">
        <v>57</v>
      </c>
      <c r="P15" s="63"/>
      <c r="Q15" s="63"/>
      <c r="R15" s="63"/>
      <c r="S15" s="63"/>
      <c r="T15" s="63"/>
      <c r="U15" s="24"/>
      <c r="V15" s="30" t="s">
        <v>58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31"/>
      <c r="AM15" s="25"/>
      <c r="AN15" s="7"/>
      <c r="EV15" s="6"/>
      <c r="EY15" s="13"/>
      <c r="EZ15" s="13"/>
      <c r="FB15" s="6"/>
      <c r="FC15" s="6"/>
      <c r="FD15" s="6"/>
      <c r="FE15" s="6"/>
      <c r="FF15" s="6"/>
      <c r="FG15" s="6"/>
      <c r="FH15" s="6"/>
    </row>
    <row r="16" spans="1:165" s="4" customFormat="1" ht="12.9" customHeight="1" x14ac:dyDescent="0.2">
      <c r="A16" s="7"/>
      <c r="B16" s="8"/>
      <c r="C16" s="23"/>
      <c r="D16" s="29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35"/>
      <c r="P16" s="24"/>
      <c r="Q16" s="64"/>
      <c r="R16" s="64"/>
      <c r="S16" s="64"/>
      <c r="T16" s="64"/>
      <c r="U16" s="24"/>
      <c r="V16" s="24" t="s">
        <v>59</v>
      </c>
      <c r="W16" s="24"/>
      <c r="X16" s="24"/>
      <c r="Y16" s="24"/>
      <c r="Z16" s="24"/>
      <c r="AA16" s="24"/>
      <c r="AB16" s="24"/>
      <c r="AC16" s="24"/>
      <c r="AD16" s="24"/>
      <c r="AE16" s="24"/>
      <c r="AF16" s="35" t="s">
        <v>20</v>
      </c>
      <c r="AG16" s="24"/>
      <c r="AH16" s="39"/>
      <c r="AI16" s="40"/>
      <c r="AJ16" s="40"/>
      <c r="AK16" s="41"/>
      <c r="AL16" s="65"/>
      <c r="AM16" s="25"/>
      <c r="AN16" s="7"/>
      <c r="AV16" s="4" t="s">
        <v>60</v>
      </c>
      <c r="BL16" s="4" t="s">
        <v>61</v>
      </c>
      <c r="EV16" s="6"/>
      <c r="EY16" s="13"/>
      <c r="EZ16" s="13"/>
      <c r="FB16" s="6"/>
      <c r="FC16" s="6"/>
      <c r="FD16" s="6"/>
      <c r="FE16" s="6"/>
      <c r="FF16" s="6"/>
      <c r="FG16" s="6"/>
    </row>
    <row r="17" spans="1:163" s="4" customFormat="1" ht="12.9" customHeight="1" x14ac:dyDescent="0.2">
      <c r="A17" s="7"/>
      <c r="B17" s="8"/>
      <c r="C17" s="23"/>
      <c r="D17" s="29"/>
      <c r="E17" s="24"/>
      <c r="F17" s="24"/>
      <c r="G17" s="24"/>
      <c r="H17" s="24"/>
      <c r="I17" s="24"/>
      <c r="J17" s="24"/>
      <c r="K17" s="24"/>
      <c r="L17" s="66"/>
      <c r="M17" s="24"/>
      <c r="N17" s="24"/>
      <c r="O17" s="35"/>
      <c r="P17" s="24"/>
      <c r="Q17" s="64"/>
      <c r="R17" s="64"/>
      <c r="S17" s="64"/>
      <c r="T17" s="64"/>
      <c r="U17" s="24"/>
      <c r="V17" s="24" t="s">
        <v>62</v>
      </c>
      <c r="W17" s="24"/>
      <c r="X17" s="24"/>
      <c r="Y17" s="24"/>
      <c r="Z17" s="24"/>
      <c r="AA17" s="24"/>
      <c r="AB17" s="24"/>
      <c r="AC17" s="24"/>
      <c r="AD17" s="24"/>
      <c r="AE17" s="24"/>
      <c r="AF17" s="35" t="s">
        <v>20</v>
      </c>
      <c r="AG17" s="24"/>
      <c r="AH17" s="39"/>
      <c r="AI17" s="40"/>
      <c r="AJ17" s="40"/>
      <c r="AK17" s="41"/>
      <c r="AL17" s="65"/>
      <c r="AM17" s="25"/>
      <c r="AN17" s="7"/>
      <c r="AW17" s="4" t="s">
        <v>63</v>
      </c>
      <c r="AX17" s="4" t="s">
        <v>64</v>
      </c>
      <c r="AY17" s="67">
        <f>Q8/12/1000</f>
        <v>2</v>
      </c>
      <c r="AZ17" s="67"/>
      <c r="BL17" s="4" t="s">
        <v>65</v>
      </c>
      <c r="EV17" s="6"/>
      <c r="EY17" s="13"/>
      <c r="EZ17" s="13"/>
      <c r="FB17" s="6"/>
      <c r="FC17" s="6"/>
      <c r="FD17" s="6"/>
      <c r="FE17" s="6"/>
      <c r="FF17" s="6"/>
      <c r="FG17" s="6"/>
    </row>
    <row r="18" spans="1:163" s="4" customFormat="1" ht="12.9" customHeight="1" x14ac:dyDescent="0.2">
      <c r="A18" s="7"/>
      <c r="B18" s="8"/>
      <c r="C18" s="23"/>
      <c r="D18" s="29"/>
      <c r="E18" s="68" t="s">
        <v>66</v>
      </c>
      <c r="F18" s="24"/>
      <c r="G18" s="24"/>
      <c r="H18" s="24"/>
      <c r="I18" s="24"/>
      <c r="J18" s="24"/>
      <c r="K18" s="24"/>
      <c r="L18" s="24"/>
      <c r="M18" s="69" t="s">
        <v>18</v>
      </c>
      <c r="N18" s="69"/>
      <c r="O18" s="69"/>
      <c r="P18" s="69"/>
      <c r="Q18" s="69"/>
      <c r="R18" s="69"/>
      <c r="S18" s="69"/>
      <c r="T18" s="69"/>
      <c r="U18" s="69"/>
      <c r="V18" s="69"/>
      <c r="W18" s="24"/>
      <c r="X18" s="24"/>
      <c r="Y18" s="24"/>
      <c r="Z18" s="24"/>
      <c r="AA18" s="24"/>
      <c r="AB18" s="24"/>
      <c r="AC18" s="24"/>
      <c r="AD18" s="24"/>
      <c r="AE18" s="24"/>
      <c r="AF18" s="35"/>
      <c r="AG18" s="24"/>
      <c r="AH18" s="24"/>
      <c r="AI18" s="24"/>
      <c r="AJ18" s="24"/>
      <c r="AK18" s="24"/>
      <c r="AL18" s="70"/>
      <c r="AM18" s="25"/>
      <c r="AN18" s="7"/>
      <c r="AR18" s="24"/>
      <c r="AS18" s="24"/>
      <c r="AT18" s="24"/>
      <c r="AU18" s="24"/>
      <c r="AV18" s="24"/>
      <c r="AW18" s="24" t="s">
        <v>67</v>
      </c>
      <c r="AX18" s="4" t="s">
        <v>64</v>
      </c>
      <c r="AY18" s="71">
        <f>Q8/2000</f>
        <v>12</v>
      </c>
      <c r="AZ18" s="71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72" t="s">
        <v>68</v>
      </c>
      <c r="DJ18" s="19"/>
      <c r="DK18" s="19"/>
      <c r="DL18" s="19"/>
      <c r="DM18" s="19"/>
      <c r="DN18" s="73"/>
      <c r="DO18" s="73"/>
      <c r="DP18" s="73"/>
      <c r="DQ18" s="73"/>
      <c r="DR18" s="74"/>
      <c r="EA18" s="4" t="s">
        <v>69</v>
      </c>
      <c r="EV18" s="6"/>
      <c r="EY18" s="13"/>
      <c r="EZ18" s="13"/>
      <c r="FB18" s="6"/>
      <c r="FC18" s="6"/>
      <c r="FD18" s="6"/>
      <c r="FE18" s="6"/>
      <c r="FF18" s="6"/>
      <c r="FG18" s="6"/>
    </row>
    <row r="19" spans="1:163" s="4" customFormat="1" ht="12.9" customHeight="1" x14ac:dyDescent="0.2">
      <c r="A19" s="7"/>
      <c r="B19" s="8"/>
      <c r="C19" s="23"/>
      <c r="D19" s="29"/>
      <c r="E19" s="24" t="str">
        <f>IF(OR(M18="Insulated tank - Fully Insulation",M18="Insulated tank - Partial
                    Insulation"),"Insulation Thickness",IF(M18="Concrete tank or Fire
                    proofing","Thickness",""))</f>
        <v/>
      </c>
      <c r="F19" s="24"/>
      <c r="G19" s="24"/>
      <c r="H19" s="24"/>
      <c r="I19" s="24"/>
      <c r="J19" s="24"/>
      <c r="K19" s="24"/>
      <c r="L19" s="24"/>
      <c r="M19" s="24"/>
      <c r="N19" s="24"/>
      <c r="O19" s="35" t="str">
        <f>IF(OR(M18="Insulated tank - Fully Insulation",M18="Insulated tank - Partial
                    Insulation",M18="Concrete tank or Fire proofing"),"mm","")</f>
        <v/>
      </c>
      <c r="P19" s="24"/>
      <c r="Q19" s="39"/>
      <c r="R19" s="40"/>
      <c r="S19" s="40"/>
      <c r="T19" s="41"/>
      <c r="U19" s="24"/>
      <c r="V19" s="24" t="str">
        <f>IF(OR(M18="Insulated tank - Fully Insulation",M18="Insulated tank - Partial
                    Insulation",M18="Concrete tank or Fire proofing"),"Inside heat tranfer
                    coeff.","")</f>
        <v/>
      </c>
      <c r="W19" s="24"/>
      <c r="X19" s="24"/>
      <c r="Y19" s="24"/>
      <c r="Z19" s="24"/>
      <c r="AA19" s="24"/>
      <c r="AB19" s="24"/>
      <c r="AC19" s="24"/>
      <c r="AD19" s="24"/>
      <c r="AE19" s="24"/>
      <c r="AF19" s="35" t="str">
        <f>IF(OR(M18="Insulated tank - Fully Insulation",M18="Insulated tank - Partial
                    Insulation",M18="Concrete tank or Fire proofing"),"W/m2-K","")</f>
        <v/>
      </c>
      <c r="AG19" s="24"/>
      <c r="AH19" s="39"/>
      <c r="AI19" s="40"/>
      <c r="AJ19" s="40"/>
      <c r="AK19" s="41"/>
      <c r="AL19" s="70"/>
      <c r="AM19" s="25"/>
      <c r="AN19" s="7"/>
      <c r="AR19" s="24"/>
      <c r="AS19" s="24"/>
      <c r="AT19" s="24"/>
      <c r="AU19" s="24"/>
      <c r="AV19" s="24"/>
      <c r="AW19" s="24" t="s">
        <v>70</v>
      </c>
      <c r="AX19" s="24" t="s">
        <v>64</v>
      </c>
      <c r="AY19" s="71">
        <f>SQRT(AY17^2+AY18^2)</f>
        <v>12.165525060596439</v>
      </c>
      <c r="AZ19" s="71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9"/>
      <c r="DJ19" s="68" t="s">
        <v>71</v>
      </c>
      <c r="DK19" s="24"/>
      <c r="DL19" s="24"/>
      <c r="DM19" s="24"/>
      <c r="DR19" s="70"/>
      <c r="EA19" s="12" t="s">
        <v>72</v>
      </c>
      <c r="EB19" s="12"/>
      <c r="EC19" s="12"/>
      <c r="ED19" s="12"/>
      <c r="EE19" s="12" t="s">
        <v>73</v>
      </c>
      <c r="EF19" s="12"/>
      <c r="EG19" s="12"/>
      <c r="EH19" s="12"/>
      <c r="EI19" s="12"/>
      <c r="EJ19" s="12" t="s">
        <v>68</v>
      </c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Y19" s="13"/>
      <c r="EZ19" s="13"/>
      <c r="FB19" s="6"/>
      <c r="FC19" s="6"/>
      <c r="FD19" s="6"/>
      <c r="FE19" s="6"/>
      <c r="FF19" s="6"/>
      <c r="FG19" s="6"/>
    </row>
    <row r="20" spans="1:163" s="4" customFormat="1" ht="12.9" customHeight="1" x14ac:dyDescent="0.2">
      <c r="A20" s="7"/>
      <c r="B20" s="8"/>
      <c r="C20" s="23"/>
      <c r="D20" s="29"/>
      <c r="E20" s="24" t="str">
        <f>IF(OR(M18="Insulated tank - Fully Insulation",M18="Insulated tank - Partial
                    Insulation"),"Insulation Thermal Conduction",IF(M18="Concrete tank or Fire
                    proofing","Thermal Conduction",""))</f>
        <v/>
      </c>
      <c r="F20" s="24"/>
      <c r="G20" s="24"/>
      <c r="H20" s="24"/>
      <c r="I20" s="24"/>
      <c r="J20" s="24"/>
      <c r="K20" s="24"/>
      <c r="L20" s="24"/>
      <c r="M20" s="24"/>
      <c r="N20" s="24"/>
      <c r="O20" s="35" t="str">
        <f>IF(OR(M18="Insulated tank - Fully Insulation",M18="Insulated tank - Partial
                    Insulation",M18="Concrete tank or Fire proofing"),"W/m-K","")</f>
        <v/>
      </c>
      <c r="P20" s="24"/>
      <c r="Q20" s="39"/>
      <c r="R20" s="40"/>
      <c r="S20" s="40"/>
      <c r="T20" s="41"/>
      <c r="U20" s="24"/>
      <c r="V20" s="24" t="str">
        <f>IF(M18="Insulated tank - Partial Insulation","Total Tank Surface Area
                    (shell+roof)","")</f>
        <v>Total Tank Surface Area
                    (shell+roof)</v>
      </c>
      <c r="W20" s="24"/>
      <c r="X20" s="24"/>
      <c r="Y20" s="24"/>
      <c r="Z20" s="24"/>
      <c r="AA20" s="24"/>
      <c r="AB20" s="24"/>
      <c r="AC20" s="24"/>
      <c r="AD20" s="35"/>
      <c r="AE20" s="24"/>
      <c r="AF20" s="35" t="str">
        <f>IF(M18="Insulated tank - Partial Insulation","m2","")</f>
        <v>m2</v>
      </c>
      <c r="AG20" s="24"/>
      <c r="AH20" s="50" t="str">
        <f>IF(V20="","",IF($Q$19="","",Q11+AY20))</f>
        <v/>
      </c>
      <c r="AI20" s="51"/>
      <c r="AJ20" s="51"/>
      <c r="AK20" s="52"/>
      <c r="AL20" s="70"/>
      <c r="AM20" s="25"/>
      <c r="AN20" s="7"/>
      <c r="AW20" s="4" t="s">
        <v>74</v>
      </c>
      <c r="AX20" s="4" t="s">
        <v>64</v>
      </c>
      <c r="AY20" s="75">
        <f>PI()*AY18*AY19</f>
        <v>458.62948988918754</v>
      </c>
      <c r="AZ20" s="75"/>
      <c r="DI20" s="76"/>
      <c r="DJ20" s="4" t="s">
        <v>75</v>
      </c>
      <c r="DN20" s="4" t="s">
        <v>76</v>
      </c>
      <c r="DP20" s="4" t="s">
        <v>77</v>
      </c>
      <c r="DR20" s="70"/>
      <c r="EA20" s="77"/>
      <c r="EB20" s="77"/>
      <c r="EC20" s="77"/>
      <c r="ED20" s="77"/>
      <c r="EE20" s="77"/>
      <c r="EF20" s="77"/>
      <c r="EG20" s="77"/>
      <c r="EH20" s="77"/>
      <c r="EI20" s="77"/>
      <c r="EJ20" s="12" t="s">
        <v>78</v>
      </c>
      <c r="EK20" s="12"/>
      <c r="EL20" s="12"/>
      <c r="EM20" s="12"/>
      <c r="EN20" s="12"/>
      <c r="EO20" s="12"/>
      <c r="EP20" s="12"/>
      <c r="EQ20" s="12" t="s">
        <v>79</v>
      </c>
      <c r="ER20" s="12"/>
      <c r="ES20" s="12"/>
      <c r="ET20" s="12"/>
      <c r="EU20" s="12"/>
      <c r="EV20" s="12"/>
      <c r="EY20" s="13"/>
      <c r="EZ20" s="13"/>
      <c r="FB20" s="6"/>
      <c r="FC20" s="6"/>
      <c r="FD20" s="6"/>
      <c r="FE20" s="6"/>
      <c r="FF20" s="6"/>
      <c r="FG20" s="6"/>
    </row>
    <row r="21" spans="1:163" s="4" customFormat="1" ht="12.9" customHeight="1" x14ac:dyDescent="0.2">
      <c r="A21" s="7"/>
      <c r="B21" s="8"/>
      <c r="C21" s="23"/>
      <c r="D21" s="29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 t="str">
        <f>IF(M18="Insulated tank - Partial Insulation","Insulated surface area","")</f>
        <v>Insulated surface area</v>
      </c>
      <c r="W21" s="24"/>
      <c r="X21" s="24"/>
      <c r="Y21" s="24"/>
      <c r="Z21" s="24"/>
      <c r="AA21" s="24"/>
      <c r="AB21" s="24"/>
      <c r="AC21" s="24"/>
      <c r="AD21" s="24"/>
      <c r="AE21" s="24"/>
      <c r="AF21" s="35" t="str">
        <f>IF(M18="Insulated tank - Partial Insulation","m2","")</f>
        <v>m2</v>
      </c>
      <c r="AG21" s="24"/>
      <c r="AH21" s="78"/>
      <c r="AI21" s="79"/>
      <c r="AJ21" s="79"/>
      <c r="AK21" s="80"/>
      <c r="AL21" s="65"/>
      <c r="AM21" s="25"/>
      <c r="AN21" s="7"/>
      <c r="AY21" s="75"/>
      <c r="AZ21" s="75"/>
      <c r="BL21" s="4" t="s">
        <v>80</v>
      </c>
      <c r="BS21" s="4" t="s">
        <v>81</v>
      </c>
      <c r="CC21" s="4" t="s">
        <v>82</v>
      </c>
      <c r="DI21" s="76"/>
      <c r="DJ21" s="12">
        <f>VLOOKUP(Q10,EA21:EW48,23)</f>
        <v>15</v>
      </c>
      <c r="DK21" s="12"/>
      <c r="DN21" s="12">
        <f>VLOOKUP(Q10,EA21:EP48,1)</f>
        <v>6000</v>
      </c>
      <c r="DO21" s="12"/>
      <c r="DP21" s="81">
        <f>VLOOKUP(Q10,EA21:EP48,10)</f>
        <v>538</v>
      </c>
      <c r="DQ21" s="81"/>
      <c r="DR21" s="82"/>
      <c r="DS21" s="83"/>
      <c r="DT21" s="83"/>
      <c r="DZ21" s="4">
        <v>1</v>
      </c>
      <c r="EA21" s="22">
        <v>10</v>
      </c>
      <c r="EB21" s="22"/>
      <c r="EC21" s="22"/>
      <c r="ED21" s="22"/>
      <c r="EE21" s="22">
        <v>1.69</v>
      </c>
      <c r="EF21" s="22"/>
      <c r="EG21" s="22"/>
      <c r="EH21" s="22"/>
      <c r="EI21" s="22"/>
      <c r="EJ21" s="22">
        <v>1.01</v>
      </c>
      <c r="EK21" s="22"/>
      <c r="EL21" s="22"/>
      <c r="EM21" s="22"/>
      <c r="EN21" s="22"/>
      <c r="EO21" s="22"/>
      <c r="EP21" s="22"/>
      <c r="EQ21" s="22">
        <v>1.69</v>
      </c>
      <c r="ER21" s="22"/>
      <c r="ES21" s="22"/>
      <c r="ET21" s="22"/>
      <c r="EU21" s="22"/>
      <c r="EV21" s="22"/>
      <c r="EW21" s="4">
        <v>1</v>
      </c>
      <c r="EY21" s="13"/>
      <c r="EZ21" s="13"/>
      <c r="FB21" s="6"/>
      <c r="FC21" s="6"/>
      <c r="FD21" s="6"/>
      <c r="FE21" s="6"/>
      <c r="FF21" s="6"/>
      <c r="FG21" s="6"/>
    </row>
    <row r="22" spans="1:163" s="4" customFormat="1" ht="12.9" customHeight="1" x14ac:dyDescent="0.2">
      <c r="A22" s="7"/>
      <c r="B22" s="8"/>
      <c r="C22" s="23"/>
      <c r="D22" s="29"/>
      <c r="E22" s="30" t="s">
        <v>83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65"/>
      <c r="AM22" s="25"/>
      <c r="AN22" s="7"/>
      <c r="AY22" s="75"/>
      <c r="AZ22" s="75"/>
      <c r="BS22" s="4" t="s">
        <v>84</v>
      </c>
      <c r="CC22" s="12" t="s">
        <v>85</v>
      </c>
      <c r="CD22" s="12"/>
      <c r="CE22" s="12"/>
      <c r="CF22" s="12"/>
      <c r="CG22" s="12"/>
      <c r="CH22" s="12"/>
      <c r="CI22" s="12"/>
      <c r="CJ22" s="22" t="s">
        <v>86</v>
      </c>
      <c r="CK22" s="22"/>
      <c r="CL22" s="22"/>
      <c r="CM22" s="22"/>
      <c r="DI22" s="76"/>
      <c r="DJ22" s="12">
        <f>DJ21+1</f>
        <v>16</v>
      </c>
      <c r="DK22" s="12"/>
      <c r="DN22" s="12">
        <f>VLOOKUP(DJ22,DZ21:EP48,2)</f>
        <v>10000</v>
      </c>
      <c r="DO22" s="12"/>
      <c r="DP22" s="12">
        <f>VLOOKUP(DJ22,DZ21:EP48,11)</f>
        <v>726</v>
      </c>
      <c r="DQ22" s="12"/>
      <c r="DR22" s="70"/>
      <c r="DZ22" s="4">
        <v>2</v>
      </c>
      <c r="EA22" s="22">
        <v>20</v>
      </c>
      <c r="EB22" s="22"/>
      <c r="EC22" s="22"/>
      <c r="ED22" s="22"/>
      <c r="EE22" s="22">
        <v>3.38</v>
      </c>
      <c r="EF22" s="22"/>
      <c r="EG22" s="22"/>
      <c r="EH22" s="22"/>
      <c r="EI22" s="22"/>
      <c r="EJ22" s="22">
        <v>2.02</v>
      </c>
      <c r="EK22" s="22"/>
      <c r="EL22" s="22"/>
      <c r="EM22" s="22"/>
      <c r="EN22" s="22"/>
      <c r="EO22" s="22"/>
      <c r="EP22" s="22"/>
      <c r="EQ22" s="22">
        <v>3.38</v>
      </c>
      <c r="ER22" s="22"/>
      <c r="ES22" s="22"/>
      <c r="ET22" s="22"/>
      <c r="EU22" s="22"/>
      <c r="EV22" s="22"/>
      <c r="EW22" s="4">
        <v>2</v>
      </c>
      <c r="EY22" s="13"/>
      <c r="EZ22" s="13"/>
      <c r="FB22" s="6"/>
      <c r="FC22" s="6"/>
      <c r="FD22" s="6"/>
      <c r="FE22" s="6"/>
      <c r="FF22" s="6"/>
      <c r="FG22" s="6"/>
    </row>
    <row r="23" spans="1:163" s="4" customFormat="1" ht="12.9" customHeight="1" x14ac:dyDescent="0.2">
      <c r="A23" s="7"/>
      <c r="B23" s="8"/>
      <c r="C23" s="23"/>
      <c r="D23" s="29"/>
      <c r="E23" s="24"/>
      <c r="F23" s="24"/>
      <c r="G23" s="84" t="s">
        <v>87</v>
      </c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24"/>
      <c r="V23" s="24"/>
      <c r="W23" s="84" t="s">
        <v>88</v>
      </c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24"/>
      <c r="AL23" s="65"/>
      <c r="AM23" s="25"/>
      <c r="AN23" s="7"/>
      <c r="BL23" s="22" t="s">
        <v>89</v>
      </c>
      <c r="BM23" s="22"/>
      <c r="BN23" s="22"/>
      <c r="BO23" s="22"/>
      <c r="BP23" s="22"/>
      <c r="BQ23" s="22"/>
      <c r="BR23" s="22"/>
      <c r="BS23" s="22">
        <v>0.05</v>
      </c>
      <c r="BT23" s="22"/>
      <c r="BU23" s="22"/>
      <c r="BV23" s="22"/>
      <c r="BW23" s="22"/>
      <c r="BX23" s="22"/>
      <c r="BY23" s="22"/>
      <c r="CC23" s="12" t="s">
        <v>90</v>
      </c>
      <c r="CD23" s="12"/>
      <c r="CE23" s="12"/>
      <c r="CF23" s="12"/>
      <c r="CG23" s="12"/>
      <c r="CH23" s="12"/>
      <c r="CI23" s="12"/>
      <c r="CJ23" s="22">
        <v>0.32</v>
      </c>
      <c r="CK23" s="22"/>
      <c r="CL23" s="22"/>
      <c r="CM23" s="22"/>
      <c r="DI23" s="76"/>
      <c r="DK23" s="12" t="s">
        <v>91</v>
      </c>
      <c r="DL23" s="12"/>
      <c r="DM23" s="12"/>
      <c r="DN23" s="12"/>
      <c r="DO23" s="12"/>
      <c r="DP23" s="81">
        <f>DP21+(((DP22-DP21)/(DN22-DN21))*(Q10-DN21))</f>
        <v>628.0902338911751</v>
      </c>
      <c r="DQ23" s="12"/>
      <c r="DR23" s="70"/>
      <c r="DZ23" s="4">
        <v>3</v>
      </c>
      <c r="EA23" s="22">
        <v>100</v>
      </c>
      <c r="EB23" s="22"/>
      <c r="EC23" s="22"/>
      <c r="ED23" s="22"/>
      <c r="EE23" s="22">
        <v>16.899999999999999</v>
      </c>
      <c r="EF23" s="22"/>
      <c r="EG23" s="22"/>
      <c r="EH23" s="22"/>
      <c r="EI23" s="22"/>
      <c r="EJ23" s="22">
        <v>10.1</v>
      </c>
      <c r="EK23" s="22"/>
      <c r="EL23" s="22"/>
      <c r="EM23" s="22"/>
      <c r="EN23" s="22"/>
      <c r="EO23" s="22"/>
      <c r="EP23" s="22"/>
      <c r="EQ23" s="22">
        <v>16.899999999999999</v>
      </c>
      <c r="ER23" s="22"/>
      <c r="ES23" s="22"/>
      <c r="ET23" s="22"/>
      <c r="EU23" s="22"/>
      <c r="EV23" s="22"/>
      <c r="EW23" s="4">
        <v>3</v>
      </c>
      <c r="EY23" s="13"/>
      <c r="EZ23" s="13"/>
      <c r="FB23" s="6"/>
      <c r="FC23" s="6"/>
      <c r="FD23" s="6"/>
      <c r="FE23" s="6"/>
      <c r="FF23" s="6"/>
      <c r="FG23" s="6"/>
    </row>
    <row r="24" spans="1:163" s="4" customFormat="1" ht="12.9" customHeight="1" x14ac:dyDescent="0.2">
      <c r="A24" s="7"/>
      <c r="B24" s="8"/>
      <c r="C24" s="23"/>
      <c r="D24" s="29"/>
      <c r="E24" s="24"/>
      <c r="F24" s="24"/>
      <c r="G24" s="85" t="s">
        <v>92</v>
      </c>
      <c r="H24" s="85"/>
      <c r="I24" s="85"/>
      <c r="J24" s="85"/>
      <c r="K24" s="85"/>
      <c r="L24" s="85"/>
      <c r="M24" s="85"/>
      <c r="N24" s="85"/>
      <c r="O24" s="86"/>
      <c r="P24" s="85" t="s">
        <v>93</v>
      </c>
      <c r="Q24" s="85"/>
      <c r="R24" s="85"/>
      <c r="S24" s="85"/>
      <c r="T24" s="85"/>
      <c r="U24" s="24"/>
      <c r="V24" s="24"/>
      <c r="W24" s="85" t="s">
        <v>92</v>
      </c>
      <c r="X24" s="85"/>
      <c r="Y24" s="85"/>
      <c r="Z24" s="85"/>
      <c r="AA24" s="85"/>
      <c r="AB24" s="85"/>
      <c r="AC24" s="85"/>
      <c r="AD24" s="85"/>
      <c r="AE24" s="85"/>
      <c r="AF24" s="85" t="s">
        <v>93</v>
      </c>
      <c r="AG24" s="85"/>
      <c r="AH24" s="85"/>
      <c r="AI24" s="85"/>
      <c r="AJ24" s="85"/>
      <c r="AK24" s="24"/>
      <c r="AL24" s="65"/>
      <c r="AM24" s="25"/>
      <c r="AN24" s="7"/>
      <c r="BL24" s="22" t="s">
        <v>94</v>
      </c>
      <c r="BM24" s="22"/>
      <c r="BN24" s="22"/>
      <c r="BO24" s="22"/>
      <c r="BP24" s="22"/>
      <c r="BQ24" s="22"/>
      <c r="BR24" s="22"/>
      <c r="BS24" s="22">
        <v>0.04</v>
      </c>
      <c r="BT24" s="22"/>
      <c r="BU24" s="22"/>
      <c r="BV24" s="22"/>
      <c r="BW24" s="22"/>
      <c r="BX24" s="22"/>
      <c r="BY24" s="22"/>
      <c r="CC24" s="12" t="s">
        <v>95</v>
      </c>
      <c r="CD24" s="12"/>
      <c r="CE24" s="12"/>
      <c r="CF24" s="12"/>
      <c r="CG24" s="12"/>
      <c r="CH24" s="12"/>
      <c r="CI24" s="12"/>
      <c r="CJ24" s="22">
        <v>0.25</v>
      </c>
      <c r="CK24" s="22"/>
      <c r="CL24" s="22"/>
      <c r="CM24" s="22"/>
      <c r="DI24" s="76"/>
      <c r="DJ24" s="87" t="s">
        <v>96</v>
      </c>
      <c r="DR24" s="70"/>
      <c r="DZ24" s="4">
        <v>4</v>
      </c>
      <c r="EA24" s="22">
        <v>200</v>
      </c>
      <c r="EB24" s="22"/>
      <c r="EC24" s="22"/>
      <c r="ED24" s="22"/>
      <c r="EE24" s="22">
        <v>33.799999999999997</v>
      </c>
      <c r="EF24" s="22"/>
      <c r="EG24" s="22"/>
      <c r="EH24" s="22"/>
      <c r="EI24" s="22"/>
      <c r="EJ24" s="22">
        <v>20.3</v>
      </c>
      <c r="EK24" s="22"/>
      <c r="EL24" s="22"/>
      <c r="EM24" s="22"/>
      <c r="EN24" s="22"/>
      <c r="EO24" s="22"/>
      <c r="EP24" s="22"/>
      <c r="EQ24" s="22">
        <v>33.799999999999997</v>
      </c>
      <c r="ER24" s="22"/>
      <c r="ES24" s="22"/>
      <c r="ET24" s="22"/>
      <c r="EU24" s="22"/>
      <c r="EV24" s="22"/>
      <c r="EW24" s="4">
        <v>4</v>
      </c>
      <c r="EY24" s="13"/>
      <c r="EZ24" s="13"/>
      <c r="FB24" s="6"/>
      <c r="FC24" s="6"/>
      <c r="FD24" s="6"/>
      <c r="FE24" s="6"/>
      <c r="FF24" s="6"/>
      <c r="FG24" s="6"/>
    </row>
    <row r="25" spans="1:163" s="4" customFormat="1" ht="12.9" customHeight="1" x14ac:dyDescent="0.2">
      <c r="A25" s="7"/>
      <c r="B25" s="8"/>
      <c r="C25" s="23"/>
      <c r="D25" s="29"/>
      <c r="E25" s="24"/>
      <c r="F25" s="88" t="s">
        <v>97</v>
      </c>
      <c r="G25" s="89"/>
      <c r="H25" s="90"/>
      <c r="I25" s="90"/>
      <c r="J25" s="90"/>
      <c r="K25" s="90"/>
      <c r="L25" s="90"/>
      <c r="M25" s="90"/>
      <c r="N25" s="90"/>
      <c r="O25" s="91"/>
      <c r="P25" s="92"/>
      <c r="Q25" s="93"/>
      <c r="R25" s="93"/>
      <c r="S25" s="93"/>
      <c r="T25" s="94"/>
      <c r="U25" s="95"/>
      <c r="V25" s="88" t="s">
        <v>97</v>
      </c>
      <c r="W25" s="96" t="s">
        <v>98</v>
      </c>
      <c r="X25" s="96"/>
      <c r="Y25" s="96"/>
      <c r="Z25" s="96"/>
      <c r="AA25" s="96"/>
      <c r="AB25" s="96"/>
      <c r="AC25" s="96"/>
      <c r="AD25" s="96"/>
      <c r="AE25" s="96"/>
      <c r="AF25" s="97">
        <v>149.69999999999999</v>
      </c>
      <c r="AG25" s="97"/>
      <c r="AH25" s="97"/>
      <c r="AI25" s="97"/>
      <c r="AJ25" s="97"/>
      <c r="AK25" s="24"/>
      <c r="AL25" s="65"/>
      <c r="AM25" s="25"/>
      <c r="AN25" s="7"/>
      <c r="BL25" s="22" t="s">
        <v>99</v>
      </c>
      <c r="BM25" s="22"/>
      <c r="BN25" s="22"/>
      <c r="BO25" s="22"/>
      <c r="BP25" s="22"/>
      <c r="BQ25" s="22"/>
      <c r="BR25" s="22"/>
      <c r="BS25" s="22">
        <v>0.06</v>
      </c>
      <c r="BT25" s="22"/>
      <c r="BU25" s="22"/>
      <c r="BV25" s="22"/>
      <c r="BW25" s="22"/>
      <c r="BX25" s="22"/>
      <c r="BY25" s="22"/>
      <c r="CC25" s="12" t="s">
        <v>100</v>
      </c>
      <c r="CD25" s="12"/>
      <c r="CE25" s="12"/>
      <c r="CF25" s="12"/>
      <c r="CG25" s="12"/>
      <c r="CH25" s="12"/>
      <c r="CI25" s="12"/>
      <c r="CJ25" s="22">
        <v>0.2</v>
      </c>
      <c r="CK25" s="22"/>
      <c r="CL25" s="22"/>
      <c r="CM25" s="22"/>
      <c r="DI25" s="76"/>
      <c r="DJ25" s="4" t="s">
        <v>75</v>
      </c>
      <c r="DN25" s="4" t="s">
        <v>76</v>
      </c>
      <c r="DP25" s="4" t="s">
        <v>77</v>
      </c>
      <c r="DR25" s="70"/>
      <c r="DZ25" s="4">
        <v>5</v>
      </c>
      <c r="EA25" s="22">
        <v>300</v>
      </c>
      <c r="EB25" s="22"/>
      <c r="EC25" s="22"/>
      <c r="ED25" s="22"/>
      <c r="EE25" s="22">
        <v>50.4</v>
      </c>
      <c r="EF25" s="22"/>
      <c r="EG25" s="22"/>
      <c r="EH25" s="22"/>
      <c r="EI25" s="22"/>
      <c r="EJ25" s="22">
        <v>30.4</v>
      </c>
      <c r="EK25" s="22"/>
      <c r="EL25" s="22"/>
      <c r="EM25" s="22"/>
      <c r="EN25" s="22"/>
      <c r="EO25" s="22"/>
      <c r="EP25" s="22"/>
      <c r="EQ25" s="22">
        <v>50.4</v>
      </c>
      <c r="ER25" s="22"/>
      <c r="ES25" s="22"/>
      <c r="ET25" s="22"/>
      <c r="EU25" s="22"/>
      <c r="EV25" s="22"/>
      <c r="EW25" s="4">
        <v>5</v>
      </c>
      <c r="EY25" s="13"/>
      <c r="EZ25" s="13"/>
      <c r="FB25" s="6"/>
      <c r="FC25" s="6"/>
      <c r="FD25" s="6"/>
      <c r="FE25" s="6"/>
      <c r="FF25" s="6"/>
      <c r="FG25" s="6"/>
    </row>
    <row r="26" spans="1:163" s="4" customFormat="1" ht="12.9" customHeight="1" x14ac:dyDescent="0.2">
      <c r="A26" s="7"/>
      <c r="B26" s="8"/>
      <c r="C26" s="23"/>
      <c r="D26" s="29"/>
      <c r="E26" s="24"/>
      <c r="F26" s="88" t="s">
        <v>101</v>
      </c>
      <c r="G26" s="98"/>
      <c r="H26" s="99"/>
      <c r="I26" s="99"/>
      <c r="J26" s="99"/>
      <c r="K26" s="99"/>
      <c r="L26" s="99"/>
      <c r="M26" s="99"/>
      <c r="N26" s="99"/>
      <c r="O26" s="100"/>
      <c r="P26" s="101"/>
      <c r="Q26" s="102"/>
      <c r="R26" s="102"/>
      <c r="S26" s="102"/>
      <c r="T26" s="103"/>
      <c r="U26" s="95"/>
      <c r="V26" s="88" t="s">
        <v>101</v>
      </c>
      <c r="W26" s="98" t="s">
        <v>102</v>
      </c>
      <c r="X26" s="99"/>
      <c r="Y26" s="99"/>
      <c r="Z26" s="99"/>
      <c r="AA26" s="99"/>
      <c r="AB26" s="99"/>
      <c r="AC26" s="99"/>
      <c r="AD26" s="99"/>
      <c r="AE26" s="100"/>
      <c r="AF26" s="101">
        <v>219.2</v>
      </c>
      <c r="AG26" s="102"/>
      <c r="AH26" s="102"/>
      <c r="AI26" s="102"/>
      <c r="AJ26" s="103"/>
      <c r="AK26" s="24"/>
      <c r="AL26" s="65"/>
      <c r="AM26" s="25"/>
      <c r="AN26" s="7"/>
      <c r="BL26" s="22" t="s">
        <v>103</v>
      </c>
      <c r="BM26" s="22"/>
      <c r="BN26" s="22"/>
      <c r="BO26" s="22"/>
      <c r="BP26" s="22"/>
      <c r="BQ26" s="22"/>
      <c r="BR26" s="22"/>
      <c r="BS26" s="22">
        <v>7.0000000000000007E-2</v>
      </c>
      <c r="BT26" s="22"/>
      <c r="BU26" s="22"/>
      <c r="BV26" s="22"/>
      <c r="BW26" s="22"/>
      <c r="BX26" s="22"/>
      <c r="BY26" s="22"/>
      <c r="DI26" s="76"/>
      <c r="DJ26" s="12">
        <f>VLOOKUP(Q10,EA21:EW48,23)</f>
        <v>15</v>
      </c>
      <c r="DK26" s="12"/>
      <c r="DN26" s="22">
        <f>VLOOKUP(Q10,EA21:EV48,1)</f>
        <v>6000</v>
      </c>
      <c r="DO26" s="22"/>
      <c r="DP26" s="22">
        <f>VLOOKUP(Q10,EA21:EV48,17)</f>
        <v>896</v>
      </c>
      <c r="DQ26" s="22"/>
      <c r="DR26" s="70"/>
      <c r="DZ26" s="4">
        <v>6</v>
      </c>
      <c r="EA26" s="22">
        <v>500</v>
      </c>
      <c r="EB26" s="22"/>
      <c r="EC26" s="22"/>
      <c r="ED26" s="22"/>
      <c r="EE26" s="22">
        <v>84.4</v>
      </c>
      <c r="EF26" s="22"/>
      <c r="EG26" s="22"/>
      <c r="EH26" s="22"/>
      <c r="EI26" s="22"/>
      <c r="EJ26" s="22">
        <v>50.7</v>
      </c>
      <c r="EK26" s="22"/>
      <c r="EL26" s="22"/>
      <c r="EM26" s="22"/>
      <c r="EN26" s="22"/>
      <c r="EO26" s="22"/>
      <c r="EP26" s="22"/>
      <c r="EQ26" s="22">
        <v>84.5</v>
      </c>
      <c r="ER26" s="22"/>
      <c r="ES26" s="22"/>
      <c r="ET26" s="22"/>
      <c r="EU26" s="22"/>
      <c r="EV26" s="22"/>
      <c r="EW26" s="4">
        <v>6</v>
      </c>
      <c r="EY26" s="13"/>
      <c r="EZ26" s="13"/>
      <c r="FB26" s="6"/>
      <c r="FC26" s="6"/>
      <c r="FD26" s="6"/>
      <c r="FE26" s="6"/>
      <c r="FF26" s="6"/>
      <c r="FG26" s="6"/>
    </row>
    <row r="27" spans="1:163" s="4" customFormat="1" ht="12.9" customHeight="1" x14ac:dyDescent="0.2">
      <c r="A27" s="7"/>
      <c r="B27" s="8"/>
      <c r="C27" s="23"/>
      <c r="D27" s="29"/>
      <c r="E27" s="24"/>
      <c r="F27" s="88" t="s">
        <v>104</v>
      </c>
      <c r="G27" s="98"/>
      <c r="H27" s="99"/>
      <c r="I27" s="99"/>
      <c r="J27" s="99"/>
      <c r="K27" s="99"/>
      <c r="L27" s="99"/>
      <c r="M27" s="99"/>
      <c r="N27" s="99"/>
      <c r="O27" s="100"/>
      <c r="P27" s="101"/>
      <c r="Q27" s="102"/>
      <c r="R27" s="102"/>
      <c r="S27" s="102"/>
      <c r="T27" s="103"/>
      <c r="U27" s="95"/>
      <c r="V27" s="88" t="s">
        <v>104</v>
      </c>
      <c r="W27" s="98"/>
      <c r="X27" s="99"/>
      <c r="Y27" s="99"/>
      <c r="Z27" s="99"/>
      <c r="AA27" s="99"/>
      <c r="AB27" s="99"/>
      <c r="AC27" s="99"/>
      <c r="AD27" s="99"/>
      <c r="AE27" s="100"/>
      <c r="AF27" s="101"/>
      <c r="AG27" s="102"/>
      <c r="AH27" s="102"/>
      <c r="AI27" s="102"/>
      <c r="AJ27" s="103"/>
      <c r="AK27" s="24"/>
      <c r="AL27" s="65"/>
      <c r="AM27" s="25"/>
      <c r="AN27" s="7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CC27" s="4" t="s">
        <v>105</v>
      </c>
      <c r="DI27" s="76"/>
      <c r="DJ27" s="12">
        <f>DJ26+1</f>
        <v>16</v>
      </c>
      <c r="DK27" s="12"/>
      <c r="DN27" s="22">
        <f>VLOOKUP(DJ22,DZ21:EV478,2)</f>
        <v>10000</v>
      </c>
      <c r="DO27" s="22"/>
      <c r="DP27" s="22">
        <f>VLOOKUP(DJ27,DZ21:EV48,18)</f>
        <v>1210</v>
      </c>
      <c r="DQ27" s="22"/>
      <c r="DR27" s="70"/>
      <c r="DZ27" s="4">
        <v>7</v>
      </c>
      <c r="EA27" s="22">
        <v>700</v>
      </c>
      <c r="EB27" s="22"/>
      <c r="EC27" s="22"/>
      <c r="ED27" s="22"/>
      <c r="EE27" s="22">
        <v>118</v>
      </c>
      <c r="EF27" s="22"/>
      <c r="EG27" s="22"/>
      <c r="EH27" s="22"/>
      <c r="EI27" s="22"/>
      <c r="EJ27" s="22">
        <v>71</v>
      </c>
      <c r="EK27" s="22"/>
      <c r="EL27" s="22"/>
      <c r="EM27" s="22"/>
      <c r="EN27" s="22"/>
      <c r="EO27" s="22"/>
      <c r="EP27" s="22"/>
      <c r="EQ27" s="22">
        <v>118</v>
      </c>
      <c r="ER27" s="22"/>
      <c r="ES27" s="22"/>
      <c r="ET27" s="22"/>
      <c r="EU27" s="22"/>
      <c r="EV27" s="22"/>
      <c r="EW27" s="4">
        <v>7</v>
      </c>
      <c r="EY27" s="13"/>
      <c r="EZ27" s="13"/>
      <c r="FB27" s="6"/>
      <c r="FC27" s="6"/>
      <c r="FD27" s="6"/>
      <c r="FE27" s="6"/>
      <c r="FF27" s="6"/>
      <c r="FG27" s="6"/>
    </row>
    <row r="28" spans="1:163" s="4" customFormat="1" ht="12.9" customHeight="1" x14ac:dyDescent="0.2">
      <c r="A28" s="7"/>
      <c r="B28" s="8"/>
      <c r="C28" s="23"/>
      <c r="D28" s="29"/>
      <c r="E28" s="24"/>
      <c r="F28" s="88" t="s">
        <v>106</v>
      </c>
      <c r="G28" s="98"/>
      <c r="H28" s="99"/>
      <c r="I28" s="99"/>
      <c r="J28" s="99"/>
      <c r="K28" s="99"/>
      <c r="L28" s="99"/>
      <c r="M28" s="99"/>
      <c r="N28" s="99"/>
      <c r="O28" s="100"/>
      <c r="P28" s="101"/>
      <c r="Q28" s="102"/>
      <c r="R28" s="102"/>
      <c r="S28" s="102"/>
      <c r="T28" s="103"/>
      <c r="U28" s="95"/>
      <c r="V28" s="88" t="s">
        <v>106</v>
      </c>
      <c r="W28" s="98"/>
      <c r="X28" s="99"/>
      <c r="Y28" s="99"/>
      <c r="Z28" s="99"/>
      <c r="AA28" s="99"/>
      <c r="AB28" s="99"/>
      <c r="AC28" s="99"/>
      <c r="AD28" s="99"/>
      <c r="AE28" s="100"/>
      <c r="AF28" s="101"/>
      <c r="AG28" s="102"/>
      <c r="AH28" s="102"/>
      <c r="AI28" s="102"/>
      <c r="AJ28" s="103"/>
      <c r="AK28" s="24"/>
      <c r="AL28" s="65"/>
      <c r="AM28" s="25"/>
      <c r="AN28" s="7"/>
      <c r="CC28" s="12" t="s">
        <v>85</v>
      </c>
      <c r="CD28" s="12"/>
      <c r="CE28" s="12"/>
      <c r="CF28" s="12"/>
      <c r="CG28" s="12"/>
      <c r="CH28" s="12"/>
      <c r="CI28" s="12"/>
      <c r="CJ28" s="4" t="s">
        <v>107</v>
      </c>
      <c r="DI28" s="76"/>
      <c r="DK28" s="12" t="s">
        <v>91</v>
      </c>
      <c r="DL28" s="12"/>
      <c r="DM28" s="12"/>
      <c r="DN28" s="12"/>
      <c r="DO28" s="12"/>
      <c r="DP28" s="81">
        <f>DP26+(((DP27-DP26)/(DN27-DN26))*(Q10-DN26))</f>
        <v>1046.4698587331329</v>
      </c>
      <c r="DQ28" s="12"/>
      <c r="DR28" s="70"/>
      <c r="DZ28" s="4">
        <v>8</v>
      </c>
      <c r="EA28" s="22">
        <v>1000</v>
      </c>
      <c r="EB28" s="22"/>
      <c r="EC28" s="22"/>
      <c r="ED28" s="22"/>
      <c r="EE28" s="22">
        <v>169</v>
      </c>
      <c r="EF28" s="22"/>
      <c r="EG28" s="22"/>
      <c r="EH28" s="22"/>
      <c r="EI28" s="22"/>
      <c r="EJ28" s="22">
        <v>101</v>
      </c>
      <c r="EK28" s="22"/>
      <c r="EL28" s="22"/>
      <c r="EM28" s="22"/>
      <c r="EN28" s="22"/>
      <c r="EO28" s="22"/>
      <c r="EP28" s="22"/>
      <c r="EQ28" s="22">
        <v>169</v>
      </c>
      <c r="ER28" s="22"/>
      <c r="ES28" s="22"/>
      <c r="ET28" s="22"/>
      <c r="EU28" s="22"/>
      <c r="EV28" s="22"/>
      <c r="EW28" s="4">
        <v>8</v>
      </c>
      <c r="EY28" s="13"/>
      <c r="EZ28" s="13"/>
      <c r="FB28" s="6"/>
      <c r="FC28" s="6"/>
      <c r="FD28" s="6"/>
      <c r="FE28" s="6"/>
      <c r="FF28" s="6"/>
      <c r="FG28" s="6"/>
    </row>
    <row r="29" spans="1:163" s="104" customFormat="1" ht="12.9" customHeight="1" x14ac:dyDescent="0.2">
      <c r="A29" s="7"/>
      <c r="B29" s="8"/>
      <c r="C29" s="23"/>
      <c r="D29" s="29"/>
      <c r="E29" s="24"/>
      <c r="F29" s="88" t="s">
        <v>108</v>
      </c>
      <c r="G29" s="98"/>
      <c r="H29" s="99"/>
      <c r="I29" s="99"/>
      <c r="J29" s="99"/>
      <c r="K29" s="99"/>
      <c r="L29" s="99"/>
      <c r="M29" s="99"/>
      <c r="N29" s="99"/>
      <c r="O29" s="100"/>
      <c r="P29" s="101"/>
      <c r="Q29" s="102"/>
      <c r="R29" s="102"/>
      <c r="S29" s="102"/>
      <c r="T29" s="103"/>
      <c r="U29" s="95"/>
      <c r="V29" s="88" t="s">
        <v>108</v>
      </c>
      <c r="W29" s="98"/>
      <c r="X29" s="99"/>
      <c r="Y29" s="99"/>
      <c r="Z29" s="99"/>
      <c r="AA29" s="99"/>
      <c r="AB29" s="99"/>
      <c r="AC29" s="99"/>
      <c r="AD29" s="99"/>
      <c r="AE29" s="100"/>
      <c r="AF29" s="101"/>
      <c r="AG29" s="102"/>
      <c r="AH29" s="102"/>
      <c r="AI29" s="102"/>
      <c r="AJ29" s="103"/>
      <c r="AK29" s="24"/>
      <c r="AL29" s="65"/>
      <c r="AM29" s="25"/>
      <c r="AN29" s="7"/>
      <c r="CC29" s="12"/>
      <c r="CD29" s="12"/>
      <c r="CE29" s="12"/>
      <c r="CF29" s="12"/>
      <c r="CG29" s="12"/>
      <c r="CH29" s="12"/>
      <c r="CI29" s="12"/>
      <c r="CJ29" s="4"/>
      <c r="CK29" s="105">
        <v>1217</v>
      </c>
      <c r="CL29" s="105"/>
      <c r="CM29" s="105"/>
      <c r="CN29" s="105"/>
      <c r="CO29" s="105"/>
      <c r="CP29" s="105"/>
      <c r="DI29" s="106"/>
      <c r="DJ29" s="107"/>
      <c r="DK29" s="107"/>
      <c r="DL29" s="107"/>
      <c r="DM29" s="107"/>
      <c r="DN29" s="107"/>
      <c r="DO29" s="107"/>
      <c r="DP29" s="107"/>
      <c r="DQ29" s="107"/>
      <c r="DR29" s="108"/>
      <c r="DZ29" s="4">
        <v>9</v>
      </c>
      <c r="EA29" s="22">
        <v>1500</v>
      </c>
      <c r="EB29" s="22"/>
      <c r="EC29" s="22"/>
      <c r="ED29" s="22"/>
      <c r="EE29" s="22">
        <v>254</v>
      </c>
      <c r="EF29" s="22"/>
      <c r="EG29" s="22"/>
      <c r="EH29" s="22"/>
      <c r="EI29" s="22"/>
      <c r="EJ29" s="22">
        <v>152</v>
      </c>
      <c r="EK29" s="22"/>
      <c r="EL29" s="22"/>
      <c r="EM29" s="22"/>
      <c r="EN29" s="22"/>
      <c r="EO29" s="22"/>
      <c r="EP29" s="22"/>
      <c r="EQ29" s="22">
        <v>254</v>
      </c>
      <c r="ER29" s="22"/>
      <c r="ES29" s="22"/>
      <c r="ET29" s="22"/>
      <c r="EU29" s="22"/>
      <c r="EV29" s="22"/>
      <c r="EW29" s="4">
        <v>9</v>
      </c>
      <c r="EY29" s="109"/>
      <c r="EZ29" s="109"/>
      <c r="FB29" s="6"/>
      <c r="FC29" s="6"/>
      <c r="FD29" s="6"/>
      <c r="FE29" s="6"/>
      <c r="FF29" s="6"/>
      <c r="FG29" s="6"/>
    </row>
    <row r="30" spans="1:163" s="104" customFormat="1" ht="12.9" customHeight="1" x14ac:dyDescent="0.2">
      <c r="A30" s="110"/>
      <c r="B30" s="8"/>
      <c r="C30" s="23"/>
      <c r="D30" s="29"/>
      <c r="E30" s="24"/>
      <c r="F30" s="88" t="s">
        <v>109</v>
      </c>
      <c r="G30" s="98"/>
      <c r="H30" s="99"/>
      <c r="I30" s="99"/>
      <c r="J30" s="99"/>
      <c r="K30" s="99"/>
      <c r="L30" s="99"/>
      <c r="M30" s="99"/>
      <c r="N30" s="99"/>
      <c r="O30" s="100"/>
      <c r="P30" s="101"/>
      <c r="Q30" s="102"/>
      <c r="R30" s="102"/>
      <c r="S30" s="102"/>
      <c r="T30" s="103"/>
      <c r="U30" s="24"/>
      <c r="V30" s="88" t="s">
        <v>109</v>
      </c>
      <c r="W30" s="98"/>
      <c r="X30" s="99"/>
      <c r="Y30" s="99"/>
      <c r="Z30" s="99"/>
      <c r="AA30" s="99"/>
      <c r="AB30" s="99"/>
      <c r="AC30" s="99"/>
      <c r="AD30" s="99"/>
      <c r="AE30" s="100"/>
      <c r="AF30" s="101"/>
      <c r="AG30" s="102"/>
      <c r="AH30" s="102"/>
      <c r="AI30" s="102"/>
      <c r="AJ30" s="103"/>
      <c r="AK30" s="24"/>
      <c r="AL30" s="65"/>
      <c r="AM30" s="25"/>
      <c r="AN30" s="110"/>
      <c r="CC30" s="12"/>
      <c r="CD30" s="12"/>
      <c r="CE30" s="12"/>
      <c r="CF30" s="12"/>
      <c r="CG30" s="12"/>
      <c r="CH30" s="12"/>
      <c r="CI30" s="12"/>
      <c r="CJ30" s="4"/>
      <c r="CK30" s="105">
        <v>1521</v>
      </c>
      <c r="CL30" s="105"/>
      <c r="CM30" s="105"/>
      <c r="CN30" s="105"/>
      <c r="CO30" s="105"/>
      <c r="CP30" s="105"/>
      <c r="DZ30" s="4">
        <v>10</v>
      </c>
      <c r="EA30" s="22">
        <v>2000</v>
      </c>
      <c r="EB30" s="22"/>
      <c r="EC30" s="22"/>
      <c r="ED30" s="22"/>
      <c r="EE30" s="22">
        <v>338</v>
      </c>
      <c r="EF30" s="22"/>
      <c r="EG30" s="22"/>
      <c r="EH30" s="22"/>
      <c r="EI30" s="22"/>
      <c r="EJ30" s="22">
        <v>203</v>
      </c>
      <c r="EK30" s="22"/>
      <c r="EL30" s="22"/>
      <c r="EM30" s="22"/>
      <c r="EN30" s="22"/>
      <c r="EO30" s="22"/>
      <c r="EP30" s="22"/>
      <c r="EQ30" s="22">
        <v>338</v>
      </c>
      <c r="ER30" s="22"/>
      <c r="ES30" s="22"/>
      <c r="ET30" s="22"/>
      <c r="EU30" s="22"/>
      <c r="EV30" s="22"/>
      <c r="EW30" s="4">
        <v>10</v>
      </c>
      <c r="EY30" s="109"/>
      <c r="EZ30" s="109"/>
      <c r="FB30" s="6"/>
      <c r="FC30" s="6"/>
      <c r="FD30" s="6"/>
      <c r="FE30" s="6"/>
      <c r="FF30" s="6"/>
      <c r="FG30" s="6"/>
    </row>
    <row r="31" spans="1:163" s="104" customFormat="1" ht="12.9" customHeight="1" x14ac:dyDescent="0.2">
      <c r="A31" s="110"/>
      <c r="B31" s="8"/>
      <c r="C31" s="23"/>
      <c r="D31" s="29"/>
      <c r="E31" s="24"/>
      <c r="F31" s="88" t="s">
        <v>110</v>
      </c>
      <c r="G31" s="98"/>
      <c r="H31" s="99"/>
      <c r="I31" s="99"/>
      <c r="J31" s="99"/>
      <c r="K31" s="99"/>
      <c r="L31" s="99"/>
      <c r="M31" s="99"/>
      <c r="N31" s="99"/>
      <c r="O31" s="100"/>
      <c r="P31" s="101"/>
      <c r="Q31" s="102"/>
      <c r="R31" s="102"/>
      <c r="S31" s="102"/>
      <c r="T31" s="103"/>
      <c r="U31" s="24"/>
      <c r="V31" s="88" t="s">
        <v>110</v>
      </c>
      <c r="W31" s="98"/>
      <c r="X31" s="99"/>
      <c r="Y31" s="99"/>
      <c r="Z31" s="99"/>
      <c r="AA31" s="99"/>
      <c r="AB31" s="99"/>
      <c r="AC31" s="99"/>
      <c r="AD31" s="99"/>
      <c r="AE31" s="100"/>
      <c r="AF31" s="101"/>
      <c r="AG31" s="102"/>
      <c r="AH31" s="102"/>
      <c r="AI31" s="102"/>
      <c r="AJ31" s="103"/>
      <c r="AK31" s="24"/>
      <c r="AL31" s="65"/>
      <c r="AM31" s="25"/>
      <c r="AN31" s="110"/>
      <c r="CC31" s="12"/>
      <c r="CD31" s="12"/>
      <c r="CE31" s="12"/>
      <c r="CF31" s="12"/>
      <c r="CG31" s="12"/>
      <c r="CH31" s="12"/>
      <c r="CI31" s="12"/>
      <c r="CJ31" s="4"/>
      <c r="CK31" s="105">
        <v>1825</v>
      </c>
      <c r="CL31" s="105"/>
      <c r="CM31" s="105"/>
      <c r="CN31" s="105"/>
      <c r="CO31" s="105"/>
      <c r="CP31" s="105"/>
      <c r="DZ31" s="4">
        <v>11</v>
      </c>
      <c r="EA31" s="22">
        <v>3000</v>
      </c>
      <c r="EB31" s="22"/>
      <c r="EC31" s="22"/>
      <c r="ED31" s="22"/>
      <c r="EE31" s="22">
        <v>507</v>
      </c>
      <c r="EF31" s="22"/>
      <c r="EG31" s="22"/>
      <c r="EH31" s="22"/>
      <c r="EI31" s="22"/>
      <c r="EJ31" s="22">
        <v>304</v>
      </c>
      <c r="EK31" s="22"/>
      <c r="EL31" s="22"/>
      <c r="EM31" s="22"/>
      <c r="EN31" s="22"/>
      <c r="EO31" s="22"/>
      <c r="EP31" s="22"/>
      <c r="EQ31" s="22">
        <v>507</v>
      </c>
      <c r="ER31" s="22"/>
      <c r="ES31" s="22"/>
      <c r="ET31" s="22"/>
      <c r="EU31" s="22"/>
      <c r="EV31" s="22"/>
      <c r="EW31" s="4">
        <v>11</v>
      </c>
      <c r="EY31" s="109"/>
      <c r="EZ31" s="109"/>
      <c r="FB31" s="6"/>
      <c r="FC31" s="6"/>
      <c r="FD31" s="6"/>
      <c r="FE31" s="6"/>
      <c r="FF31" s="6"/>
      <c r="FG31" s="6"/>
    </row>
    <row r="32" spans="1:163" s="104" customFormat="1" ht="12.9" customHeight="1" x14ac:dyDescent="0.2">
      <c r="A32" s="110"/>
      <c r="B32" s="8"/>
      <c r="C32" s="23"/>
      <c r="D32" s="29"/>
      <c r="E32" s="24"/>
      <c r="F32" s="88" t="s">
        <v>111</v>
      </c>
      <c r="G32" s="98"/>
      <c r="H32" s="99"/>
      <c r="I32" s="99"/>
      <c r="J32" s="99"/>
      <c r="K32" s="99"/>
      <c r="L32" s="99"/>
      <c r="M32" s="99"/>
      <c r="N32" s="99"/>
      <c r="O32" s="100"/>
      <c r="P32" s="101"/>
      <c r="Q32" s="102"/>
      <c r="R32" s="102"/>
      <c r="S32" s="102"/>
      <c r="T32" s="103"/>
      <c r="U32" s="24"/>
      <c r="V32" s="88" t="s">
        <v>111</v>
      </c>
      <c r="W32" s="98"/>
      <c r="X32" s="99"/>
      <c r="Y32" s="99"/>
      <c r="Z32" s="99"/>
      <c r="AA32" s="99"/>
      <c r="AB32" s="99"/>
      <c r="AC32" s="99"/>
      <c r="AD32" s="99"/>
      <c r="AE32" s="100"/>
      <c r="AF32" s="101"/>
      <c r="AG32" s="102"/>
      <c r="AH32" s="102"/>
      <c r="AI32" s="102"/>
      <c r="AJ32" s="103"/>
      <c r="AK32" s="24"/>
      <c r="AL32" s="65"/>
      <c r="AM32" s="25"/>
      <c r="AN32" s="110"/>
      <c r="CC32" s="12"/>
      <c r="CD32" s="12"/>
      <c r="CE32" s="12"/>
      <c r="CF32" s="12"/>
      <c r="CG32" s="12"/>
      <c r="CH32" s="12"/>
      <c r="CI32" s="12"/>
      <c r="CJ32" s="4"/>
      <c r="CK32" s="105">
        <v>2130</v>
      </c>
      <c r="CL32" s="105"/>
      <c r="CM32" s="105"/>
      <c r="CN32" s="105"/>
      <c r="CO32" s="105"/>
      <c r="CP32" s="105"/>
      <c r="DI32" s="72" t="s">
        <v>73</v>
      </c>
      <c r="DJ32" s="111"/>
      <c r="DK32" s="111"/>
      <c r="DL32" s="111"/>
      <c r="DM32" s="111"/>
      <c r="DN32" s="111"/>
      <c r="DO32" s="111"/>
      <c r="DP32" s="111"/>
      <c r="DQ32" s="111"/>
      <c r="DR32" s="112"/>
      <c r="DZ32" s="4">
        <v>12</v>
      </c>
      <c r="EA32" s="22">
        <v>3180</v>
      </c>
      <c r="EB32" s="22"/>
      <c r="EC32" s="22"/>
      <c r="ED32" s="22"/>
      <c r="EE32" s="22">
        <v>537</v>
      </c>
      <c r="EF32" s="22"/>
      <c r="EG32" s="22"/>
      <c r="EH32" s="22"/>
      <c r="EI32" s="22"/>
      <c r="EJ32" s="22">
        <v>322</v>
      </c>
      <c r="EK32" s="22"/>
      <c r="EL32" s="22"/>
      <c r="EM32" s="22"/>
      <c r="EN32" s="22"/>
      <c r="EO32" s="22"/>
      <c r="EP32" s="22"/>
      <c r="EQ32" s="22">
        <v>537</v>
      </c>
      <c r="ER32" s="22"/>
      <c r="ES32" s="22"/>
      <c r="ET32" s="22"/>
      <c r="EU32" s="22"/>
      <c r="EV32" s="22"/>
      <c r="EW32" s="4">
        <v>12</v>
      </c>
      <c r="EY32" s="109"/>
      <c r="EZ32" s="109"/>
      <c r="FB32" s="6"/>
      <c r="FC32" s="6"/>
      <c r="FD32" s="6"/>
      <c r="FE32" s="6"/>
      <c r="FF32" s="6"/>
      <c r="FG32" s="6"/>
    </row>
    <row r="33" spans="1:163" s="104" customFormat="1" ht="12.9" customHeight="1" x14ac:dyDescent="0.2">
      <c r="A33" s="110"/>
      <c r="B33" s="8"/>
      <c r="C33" s="23"/>
      <c r="D33" s="29"/>
      <c r="E33" s="24"/>
      <c r="F33" s="88" t="s">
        <v>112</v>
      </c>
      <c r="G33" s="98"/>
      <c r="H33" s="99"/>
      <c r="I33" s="99"/>
      <c r="J33" s="99"/>
      <c r="K33" s="99"/>
      <c r="L33" s="99"/>
      <c r="M33" s="99"/>
      <c r="N33" s="99"/>
      <c r="O33" s="100"/>
      <c r="P33" s="101"/>
      <c r="Q33" s="102"/>
      <c r="R33" s="102"/>
      <c r="S33" s="102"/>
      <c r="T33" s="103"/>
      <c r="U33" s="24"/>
      <c r="V33" s="88" t="s">
        <v>112</v>
      </c>
      <c r="W33" s="98"/>
      <c r="X33" s="99"/>
      <c r="Y33" s="99"/>
      <c r="Z33" s="99"/>
      <c r="AA33" s="99"/>
      <c r="AB33" s="99"/>
      <c r="AC33" s="99"/>
      <c r="AD33" s="99"/>
      <c r="AE33" s="100"/>
      <c r="AF33" s="101"/>
      <c r="AG33" s="102"/>
      <c r="AH33" s="102"/>
      <c r="AI33" s="102"/>
      <c r="AJ33" s="103"/>
      <c r="AK33" s="24"/>
      <c r="AL33" s="65"/>
      <c r="AM33" s="25"/>
      <c r="AN33" s="110"/>
      <c r="CC33" s="12"/>
      <c r="CD33" s="12"/>
      <c r="CE33" s="12"/>
      <c r="CF33" s="12"/>
      <c r="CG33" s="12"/>
      <c r="CH33" s="12"/>
      <c r="CI33" s="12"/>
      <c r="CJ33" s="4"/>
      <c r="CK33" s="105">
        <v>2434</v>
      </c>
      <c r="CL33" s="105"/>
      <c r="CM33" s="105"/>
      <c r="CN33" s="105"/>
      <c r="CO33" s="105"/>
      <c r="CP33" s="105"/>
      <c r="DI33" s="113"/>
      <c r="DJ33" s="68" t="s">
        <v>71</v>
      </c>
      <c r="DK33" s="24"/>
      <c r="DL33" s="24"/>
      <c r="DM33" s="24"/>
      <c r="DN33" s="4"/>
      <c r="DO33" s="4"/>
      <c r="DP33" s="4"/>
      <c r="DQ33" s="4"/>
      <c r="DR33" s="114"/>
      <c r="DZ33" s="4">
        <v>13</v>
      </c>
      <c r="EA33" s="22">
        <v>4000</v>
      </c>
      <c r="EB33" s="22"/>
      <c r="EC33" s="22"/>
      <c r="ED33" s="22"/>
      <c r="EE33" s="22">
        <v>647</v>
      </c>
      <c r="EF33" s="22"/>
      <c r="EG33" s="22"/>
      <c r="EH33" s="22"/>
      <c r="EI33" s="22"/>
      <c r="EJ33" s="22">
        <v>388</v>
      </c>
      <c r="EK33" s="22"/>
      <c r="EL33" s="22"/>
      <c r="EM33" s="22"/>
      <c r="EN33" s="22"/>
      <c r="EO33" s="22"/>
      <c r="EP33" s="22"/>
      <c r="EQ33" s="22">
        <v>647</v>
      </c>
      <c r="ER33" s="22"/>
      <c r="ES33" s="22"/>
      <c r="ET33" s="22"/>
      <c r="EU33" s="22"/>
      <c r="EV33" s="22"/>
      <c r="EW33" s="4">
        <v>13</v>
      </c>
      <c r="EY33" s="109"/>
      <c r="EZ33" s="109"/>
      <c r="FB33" s="6"/>
      <c r="FC33" s="6"/>
      <c r="FD33" s="6"/>
      <c r="FE33" s="6"/>
      <c r="FF33" s="6"/>
      <c r="FG33" s="6"/>
    </row>
    <row r="34" spans="1:163" s="4" customFormat="1" ht="12.9" customHeight="1" x14ac:dyDescent="0.2">
      <c r="A34" s="110"/>
      <c r="B34" s="8"/>
      <c r="C34" s="23"/>
      <c r="D34" s="29"/>
      <c r="E34" s="24"/>
      <c r="F34" s="88" t="s">
        <v>113</v>
      </c>
      <c r="G34" s="115"/>
      <c r="H34" s="116"/>
      <c r="I34" s="116"/>
      <c r="J34" s="116"/>
      <c r="K34" s="116"/>
      <c r="L34" s="116"/>
      <c r="M34" s="116"/>
      <c r="N34" s="116"/>
      <c r="O34" s="117"/>
      <c r="P34" s="118"/>
      <c r="Q34" s="119"/>
      <c r="R34" s="119"/>
      <c r="S34" s="119"/>
      <c r="T34" s="120"/>
      <c r="U34" s="24"/>
      <c r="V34" s="88" t="s">
        <v>113</v>
      </c>
      <c r="W34" s="115"/>
      <c r="X34" s="116"/>
      <c r="Y34" s="116"/>
      <c r="Z34" s="116"/>
      <c r="AA34" s="116"/>
      <c r="AB34" s="116"/>
      <c r="AC34" s="116"/>
      <c r="AD34" s="116"/>
      <c r="AE34" s="117"/>
      <c r="AF34" s="118"/>
      <c r="AG34" s="119"/>
      <c r="AH34" s="119"/>
      <c r="AI34" s="119"/>
      <c r="AJ34" s="120"/>
      <c r="AK34" s="24"/>
      <c r="AL34" s="65"/>
      <c r="AM34" s="25"/>
      <c r="AN34" s="110"/>
      <c r="CC34" s="12"/>
      <c r="CD34" s="12"/>
      <c r="CE34" s="12"/>
      <c r="CF34" s="12"/>
      <c r="CG34" s="12"/>
      <c r="CH34" s="12"/>
      <c r="CI34" s="12"/>
      <c r="CJ34" s="12" t="s">
        <v>114</v>
      </c>
      <c r="CK34" s="12"/>
      <c r="CL34" s="12"/>
      <c r="CM34" s="12"/>
      <c r="CN34" s="12"/>
      <c r="CO34" s="12"/>
      <c r="CP34" s="12"/>
      <c r="CQ34" s="12"/>
      <c r="CR34" s="12" t="s">
        <v>115</v>
      </c>
      <c r="CS34" s="12"/>
      <c r="CT34" s="12"/>
      <c r="CU34" s="12"/>
      <c r="CV34" s="12"/>
      <c r="CW34" s="12"/>
      <c r="CX34" s="12"/>
      <c r="CY34" s="12"/>
      <c r="DI34" s="76"/>
      <c r="DJ34" s="4" t="s">
        <v>75</v>
      </c>
      <c r="DN34" s="4" t="s">
        <v>76</v>
      </c>
      <c r="DP34" s="4" t="s">
        <v>77</v>
      </c>
      <c r="DR34" s="70"/>
      <c r="DZ34" s="4">
        <v>14</v>
      </c>
      <c r="EA34" s="22">
        <v>5000</v>
      </c>
      <c r="EB34" s="22"/>
      <c r="EC34" s="22"/>
      <c r="ED34" s="22"/>
      <c r="EE34" s="22">
        <v>787</v>
      </c>
      <c r="EF34" s="22"/>
      <c r="EG34" s="22"/>
      <c r="EH34" s="22"/>
      <c r="EI34" s="22"/>
      <c r="EJ34" s="22">
        <v>472</v>
      </c>
      <c r="EK34" s="22"/>
      <c r="EL34" s="22"/>
      <c r="EM34" s="22"/>
      <c r="EN34" s="22"/>
      <c r="EO34" s="22"/>
      <c r="EP34" s="22"/>
      <c r="EQ34" s="22">
        <v>787</v>
      </c>
      <c r="ER34" s="22"/>
      <c r="ES34" s="22"/>
      <c r="ET34" s="22"/>
      <c r="EU34" s="22"/>
      <c r="EV34" s="22"/>
      <c r="EW34" s="4">
        <v>14</v>
      </c>
      <c r="EY34" s="13"/>
      <c r="EZ34" s="13"/>
      <c r="FB34" s="6"/>
      <c r="FC34" s="6"/>
      <c r="FD34" s="6"/>
      <c r="FE34" s="6"/>
      <c r="FF34" s="6"/>
      <c r="FG34" s="6"/>
    </row>
    <row r="35" spans="1:163" s="4" customFormat="1" ht="12.9" customHeight="1" thickBot="1" x14ac:dyDescent="0.25">
      <c r="A35" s="7"/>
      <c r="B35" s="8"/>
      <c r="C35" s="23"/>
      <c r="D35" s="29"/>
      <c r="E35" s="24"/>
      <c r="F35" s="24"/>
      <c r="G35" s="24"/>
      <c r="H35" s="24"/>
      <c r="I35" s="24"/>
      <c r="J35" s="24"/>
      <c r="K35" s="24"/>
      <c r="L35" s="24"/>
      <c r="M35" s="24"/>
      <c r="N35" s="35" t="s">
        <v>116</v>
      </c>
      <c r="O35" s="24"/>
      <c r="P35" s="121" t="str">
        <f>IF(P25="","",SUM(P25:T34))</f>
        <v/>
      </c>
      <c r="Q35" s="122"/>
      <c r="R35" s="122"/>
      <c r="S35" s="122"/>
      <c r="T35" s="123"/>
      <c r="U35" s="24"/>
      <c r="V35" s="24"/>
      <c r="W35" s="24"/>
      <c r="X35" s="24"/>
      <c r="Y35" s="24"/>
      <c r="Z35" s="24"/>
      <c r="AA35" s="24"/>
      <c r="AB35" s="24"/>
      <c r="AC35" s="24"/>
      <c r="AD35" s="35" t="s">
        <v>116</v>
      </c>
      <c r="AE35" s="35"/>
      <c r="AF35" s="121">
        <f>IF(AF25="","",SUM(AF25:AJ34))</f>
        <v>368.9</v>
      </c>
      <c r="AG35" s="122"/>
      <c r="AH35" s="122"/>
      <c r="AI35" s="122"/>
      <c r="AJ35" s="123"/>
      <c r="AK35" s="24"/>
      <c r="AL35" s="65"/>
      <c r="AM35" s="25"/>
      <c r="AN35" s="7"/>
      <c r="CC35" s="12"/>
      <c r="CD35" s="12"/>
      <c r="CE35" s="12"/>
      <c r="CF35" s="12"/>
      <c r="CG35" s="12"/>
      <c r="CH35" s="12"/>
      <c r="CI35" s="12"/>
      <c r="CJ35" s="12" t="s">
        <v>117</v>
      </c>
      <c r="CK35" s="12"/>
      <c r="CL35" s="12"/>
      <c r="CM35" s="12"/>
      <c r="CN35" s="12" t="s">
        <v>118</v>
      </c>
      <c r="CO35" s="12"/>
      <c r="CP35" s="12"/>
      <c r="CQ35" s="12"/>
      <c r="CR35" s="12" t="s">
        <v>117</v>
      </c>
      <c r="CS35" s="12"/>
      <c r="CT35" s="12"/>
      <c r="CU35" s="12"/>
      <c r="CV35" s="12" t="s">
        <v>118</v>
      </c>
      <c r="CW35" s="12"/>
      <c r="CX35" s="12"/>
      <c r="CY35" s="12"/>
      <c r="DI35" s="76"/>
      <c r="DJ35" s="12">
        <f>VLOOKUP(Q10,EA21:EW48,23)</f>
        <v>15</v>
      </c>
      <c r="DK35" s="12"/>
      <c r="DN35" s="12">
        <f>VLOOKUP(Q10,EA21:EI48,1)</f>
        <v>6000</v>
      </c>
      <c r="DO35" s="12"/>
      <c r="DP35" s="81">
        <f>VLOOKUP(Q10,EA21:EI48,5)</f>
        <v>896</v>
      </c>
      <c r="DQ35" s="81"/>
      <c r="DR35" s="70"/>
      <c r="DZ35" s="4">
        <v>15</v>
      </c>
      <c r="EA35" s="22">
        <v>6000</v>
      </c>
      <c r="EB35" s="22"/>
      <c r="EC35" s="22"/>
      <c r="ED35" s="22"/>
      <c r="EE35" s="22">
        <v>896</v>
      </c>
      <c r="EF35" s="22"/>
      <c r="EG35" s="22"/>
      <c r="EH35" s="22"/>
      <c r="EI35" s="22"/>
      <c r="EJ35" s="22">
        <v>538</v>
      </c>
      <c r="EK35" s="22"/>
      <c r="EL35" s="22"/>
      <c r="EM35" s="22"/>
      <c r="EN35" s="22"/>
      <c r="EO35" s="22"/>
      <c r="EP35" s="22"/>
      <c r="EQ35" s="22">
        <v>896</v>
      </c>
      <c r="ER35" s="22"/>
      <c r="ES35" s="22"/>
      <c r="ET35" s="22"/>
      <c r="EU35" s="22"/>
      <c r="EV35" s="22"/>
      <c r="EW35" s="4">
        <v>15</v>
      </c>
      <c r="EY35" s="13"/>
      <c r="EZ35" s="13"/>
      <c r="FB35" s="6"/>
      <c r="FC35" s="6"/>
      <c r="FD35" s="6"/>
      <c r="FE35" s="6"/>
      <c r="FF35" s="6"/>
      <c r="FG35" s="6"/>
    </row>
    <row r="36" spans="1:163" s="4" customFormat="1" ht="12.9" customHeight="1" thickTop="1" x14ac:dyDescent="0.2">
      <c r="A36" s="7"/>
      <c r="B36" s="8"/>
      <c r="C36" s="23"/>
      <c r="D36" s="124"/>
      <c r="E36" s="125"/>
      <c r="F36" s="125"/>
      <c r="G36" s="125"/>
      <c r="H36" s="125"/>
      <c r="I36" s="125"/>
      <c r="J36" s="125"/>
      <c r="K36" s="125"/>
      <c r="L36" s="125"/>
      <c r="M36" s="125"/>
      <c r="N36" s="126"/>
      <c r="O36" s="125"/>
      <c r="P36" s="127"/>
      <c r="Q36" s="127"/>
      <c r="R36" s="127"/>
      <c r="S36" s="127"/>
      <c r="T36" s="127"/>
      <c r="U36" s="125"/>
      <c r="V36" s="125"/>
      <c r="W36" s="125"/>
      <c r="X36" s="125"/>
      <c r="Y36" s="125"/>
      <c r="Z36" s="125"/>
      <c r="AA36" s="125"/>
      <c r="AB36" s="125"/>
      <c r="AC36" s="125"/>
      <c r="AD36" s="126"/>
      <c r="AE36" s="126"/>
      <c r="AF36" s="125"/>
      <c r="AG36" s="125"/>
      <c r="AH36" s="125"/>
      <c r="AI36" s="125"/>
      <c r="AJ36" s="125"/>
      <c r="AK36" s="125"/>
      <c r="AL36" s="128"/>
      <c r="AM36" s="25"/>
      <c r="AN36" s="7"/>
      <c r="CC36" s="12" t="s">
        <v>90</v>
      </c>
      <c r="CD36" s="12"/>
      <c r="CE36" s="12"/>
      <c r="CF36" s="12"/>
      <c r="CG36" s="12"/>
      <c r="CH36" s="12"/>
      <c r="CI36" s="12"/>
      <c r="CJ36" s="12">
        <v>4</v>
      </c>
      <c r="CK36" s="12"/>
      <c r="CL36" s="12"/>
      <c r="CM36" s="12"/>
      <c r="CN36" s="12">
        <v>6.5</v>
      </c>
      <c r="CO36" s="12"/>
      <c r="CP36" s="12"/>
      <c r="CQ36" s="12"/>
      <c r="CR36" s="12">
        <v>6.5</v>
      </c>
      <c r="CS36" s="12"/>
      <c r="CT36" s="12"/>
      <c r="CU36" s="12"/>
      <c r="CV36" s="12">
        <v>6.5</v>
      </c>
      <c r="CW36" s="12"/>
      <c r="CX36" s="12"/>
      <c r="CY36" s="12"/>
      <c r="DI36" s="76"/>
      <c r="DJ36" s="12">
        <f>DJ35+1</f>
        <v>16</v>
      </c>
      <c r="DK36" s="12"/>
      <c r="DN36" s="12">
        <f>VLOOKUP(DJ36,DZ21:EI48,2)</f>
        <v>10000</v>
      </c>
      <c r="DO36" s="12"/>
      <c r="DP36" s="12">
        <f>VLOOKUP(DJ36,DZ21:EP48,6)</f>
        <v>1210</v>
      </c>
      <c r="DQ36" s="12"/>
      <c r="DR36" s="70"/>
      <c r="DZ36" s="4">
        <v>16</v>
      </c>
      <c r="EA36" s="22">
        <v>10000</v>
      </c>
      <c r="EB36" s="22"/>
      <c r="EC36" s="22"/>
      <c r="ED36" s="22"/>
      <c r="EE36" s="22">
        <v>1210</v>
      </c>
      <c r="EF36" s="22"/>
      <c r="EG36" s="22"/>
      <c r="EH36" s="22"/>
      <c r="EI36" s="22"/>
      <c r="EJ36" s="22">
        <v>726</v>
      </c>
      <c r="EK36" s="22"/>
      <c r="EL36" s="22"/>
      <c r="EM36" s="22"/>
      <c r="EN36" s="22"/>
      <c r="EO36" s="22"/>
      <c r="EP36" s="22"/>
      <c r="EQ36" s="22">
        <v>1210</v>
      </c>
      <c r="ER36" s="22"/>
      <c r="ES36" s="22"/>
      <c r="ET36" s="22"/>
      <c r="EU36" s="22"/>
      <c r="EV36" s="22"/>
      <c r="EW36" s="4">
        <v>16</v>
      </c>
      <c r="EY36" s="13"/>
      <c r="EZ36" s="13"/>
      <c r="FB36" s="6"/>
      <c r="FC36" s="6"/>
      <c r="FD36" s="6"/>
      <c r="FE36" s="6"/>
      <c r="FF36" s="6"/>
      <c r="FG36" s="6"/>
    </row>
    <row r="37" spans="1:163" s="4" customFormat="1" ht="12.9" customHeight="1" x14ac:dyDescent="0.2">
      <c r="A37" s="7"/>
      <c r="B37" s="8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5"/>
      <c r="AN37" s="7"/>
      <c r="BM37" s="129" t="s">
        <v>119</v>
      </c>
      <c r="CC37" s="12" t="s">
        <v>95</v>
      </c>
      <c r="CD37" s="12"/>
      <c r="CE37" s="12"/>
      <c r="CF37" s="12"/>
      <c r="CG37" s="12"/>
      <c r="CH37" s="12"/>
      <c r="CI37" s="12"/>
      <c r="CJ37" s="12">
        <v>3</v>
      </c>
      <c r="CK37" s="12"/>
      <c r="CL37" s="12"/>
      <c r="CM37" s="12"/>
      <c r="CN37" s="12">
        <v>5</v>
      </c>
      <c r="CO37" s="12"/>
      <c r="CP37" s="12"/>
      <c r="CQ37" s="12"/>
      <c r="CR37" s="12">
        <v>5</v>
      </c>
      <c r="CS37" s="12"/>
      <c r="CT37" s="12"/>
      <c r="CU37" s="12"/>
      <c r="CV37" s="12">
        <v>5</v>
      </c>
      <c r="CW37" s="12"/>
      <c r="CX37" s="12"/>
      <c r="CY37" s="12"/>
      <c r="DI37" s="76"/>
      <c r="DK37" s="12" t="s">
        <v>91</v>
      </c>
      <c r="DL37" s="12"/>
      <c r="DM37" s="12"/>
      <c r="DN37" s="12"/>
      <c r="DO37" s="12"/>
      <c r="DP37" s="81">
        <f>DP35+(((DP36-DP35)/(DN36-DN35))*(Q10-DN35))</f>
        <v>1046.4698587331329</v>
      </c>
      <c r="DQ37" s="12"/>
      <c r="DR37" s="70"/>
      <c r="DZ37" s="4">
        <v>17</v>
      </c>
      <c r="EA37" s="22">
        <v>12000</v>
      </c>
      <c r="EB37" s="22"/>
      <c r="EC37" s="22"/>
      <c r="ED37" s="22"/>
      <c r="EE37" s="22">
        <v>1345</v>
      </c>
      <c r="EF37" s="22"/>
      <c r="EG37" s="22"/>
      <c r="EH37" s="22"/>
      <c r="EI37" s="22"/>
      <c r="EJ37" s="22">
        <v>807</v>
      </c>
      <c r="EK37" s="22"/>
      <c r="EL37" s="22"/>
      <c r="EM37" s="22"/>
      <c r="EN37" s="22"/>
      <c r="EO37" s="22"/>
      <c r="EP37" s="22"/>
      <c r="EQ37" s="22">
        <v>1345</v>
      </c>
      <c r="ER37" s="22"/>
      <c r="ES37" s="22"/>
      <c r="ET37" s="22"/>
      <c r="EU37" s="22"/>
      <c r="EV37" s="22"/>
      <c r="EW37" s="4">
        <v>17</v>
      </c>
      <c r="EY37" s="13"/>
      <c r="EZ37" s="13"/>
      <c r="FB37" s="6"/>
      <c r="FC37" s="6"/>
      <c r="FD37" s="6"/>
      <c r="FE37" s="6"/>
      <c r="FF37" s="6"/>
      <c r="FG37" s="6"/>
    </row>
    <row r="38" spans="1:163" s="4" customFormat="1" ht="12.9" customHeight="1" x14ac:dyDescent="0.2">
      <c r="A38" s="7"/>
      <c r="B38" s="8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5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35"/>
      <c r="AD38" s="24"/>
      <c r="AE38" s="24"/>
      <c r="AF38" s="24"/>
      <c r="AG38" s="24"/>
      <c r="AH38" s="24"/>
      <c r="AI38" s="24"/>
      <c r="AJ38" s="24"/>
      <c r="AK38" s="24"/>
      <c r="AL38" s="24"/>
      <c r="AM38" s="25"/>
      <c r="AN38" s="7"/>
      <c r="BN38" s="130" t="s">
        <v>120</v>
      </c>
      <c r="CC38" s="12" t="s">
        <v>100</v>
      </c>
      <c r="CD38" s="12"/>
      <c r="CE38" s="12"/>
      <c r="CF38" s="12"/>
      <c r="CG38" s="12"/>
      <c r="CH38" s="12"/>
      <c r="CI38" s="12"/>
      <c r="CJ38" s="12">
        <v>2.5</v>
      </c>
      <c r="CK38" s="12"/>
      <c r="CL38" s="12"/>
      <c r="CM38" s="12"/>
      <c r="CN38" s="12">
        <v>4</v>
      </c>
      <c r="CO38" s="12"/>
      <c r="CP38" s="12"/>
      <c r="CQ38" s="12"/>
      <c r="CR38" s="12">
        <v>4</v>
      </c>
      <c r="CS38" s="12"/>
      <c r="CT38" s="12"/>
      <c r="CU38" s="12"/>
      <c r="CV38" s="12">
        <v>4</v>
      </c>
      <c r="CW38" s="12"/>
      <c r="CX38" s="12"/>
      <c r="CY38" s="12"/>
      <c r="DI38" s="131"/>
      <c r="DJ38" s="132"/>
      <c r="DK38" s="132"/>
      <c r="DL38" s="132"/>
      <c r="DM38" s="132"/>
      <c r="DN38" s="132"/>
      <c r="DO38" s="132"/>
      <c r="DP38" s="132"/>
      <c r="DQ38" s="132"/>
      <c r="DR38" s="133"/>
      <c r="DZ38" s="4">
        <v>18</v>
      </c>
      <c r="EA38" s="22">
        <v>14000</v>
      </c>
      <c r="EB38" s="22"/>
      <c r="EC38" s="22"/>
      <c r="ED38" s="22"/>
      <c r="EE38" s="22">
        <v>1480</v>
      </c>
      <c r="EF38" s="22"/>
      <c r="EG38" s="22"/>
      <c r="EH38" s="22"/>
      <c r="EI38" s="22"/>
      <c r="EJ38" s="22">
        <v>888</v>
      </c>
      <c r="EK38" s="22"/>
      <c r="EL38" s="22"/>
      <c r="EM38" s="22"/>
      <c r="EN38" s="22"/>
      <c r="EO38" s="22"/>
      <c r="EP38" s="22"/>
      <c r="EQ38" s="22">
        <v>1480</v>
      </c>
      <c r="ER38" s="22"/>
      <c r="ES38" s="22"/>
      <c r="ET38" s="22"/>
      <c r="EU38" s="22"/>
      <c r="EV38" s="22"/>
      <c r="EW38" s="4">
        <v>18</v>
      </c>
      <c r="EY38" s="13"/>
      <c r="EZ38" s="13"/>
      <c r="FB38" s="6"/>
      <c r="FC38" s="6"/>
      <c r="FD38" s="6"/>
      <c r="FE38" s="6"/>
      <c r="FF38" s="6"/>
      <c r="FG38" s="6"/>
    </row>
    <row r="39" spans="1:163" s="4" customFormat="1" ht="12.9" customHeight="1" x14ac:dyDescent="0.2">
      <c r="A39" s="7"/>
      <c r="B39" s="8"/>
      <c r="C39" s="23"/>
      <c r="D39" s="27" t="s">
        <v>121</v>
      </c>
      <c r="E39" s="134" t="s">
        <v>122</v>
      </c>
      <c r="F39" s="19"/>
      <c r="G39" s="19"/>
      <c r="H39" s="19"/>
      <c r="I39" s="19"/>
      <c r="J39" s="19"/>
      <c r="K39" s="19"/>
      <c r="L39" s="19"/>
      <c r="M39" s="19"/>
      <c r="N39" s="135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35"/>
      <c r="AD39" s="19"/>
      <c r="AE39" s="19"/>
      <c r="AF39" s="19"/>
      <c r="AG39" s="19"/>
      <c r="AH39" s="19"/>
      <c r="AI39" s="19"/>
      <c r="AJ39" s="19"/>
      <c r="AK39" s="19"/>
      <c r="AL39" s="28"/>
      <c r="AM39" s="25"/>
      <c r="AN39" s="7"/>
      <c r="BN39" s="136">
        <f>IF(Q10="","",IF(M18="Insulated tank - Fully
                    Insulation",1/(1+((AH19*(Q19/100))/Q20)),IF(M18="Insulated tank - Partial
                    Insulation",((AH20/Q10)*(1 / (1 + ((AH19 * (Q19 / 100)) /
                    Q19))))+(1-(AH20/Q10)),1)))</f>
        <v>1</v>
      </c>
      <c r="BO39" s="136"/>
      <c r="BP39" s="136"/>
      <c r="BQ39" s="136"/>
      <c r="BR39" s="136"/>
      <c r="BS39" s="136"/>
      <c r="BT39" s="136"/>
      <c r="BU39" s="136"/>
      <c r="DZ39" s="4">
        <v>19</v>
      </c>
      <c r="EA39" s="22">
        <v>16000</v>
      </c>
      <c r="EB39" s="22"/>
      <c r="EC39" s="22"/>
      <c r="ED39" s="22"/>
      <c r="EE39" s="22">
        <v>1615</v>
      </c>
      <c r="EF39" s="22"/>
      <c r="EG39" s="22"/>
      <c r="EH39" s="22"/>
      <c r="EI39" s="22"/>
      <c r="EJ39" s="22">
        <v>969</v>
      </c>
      <c r="EK39" s="22"/>
      <c r="EL39" s="22"/>
      <c r="EM39" s="22"/>
      <c r="EN39" s="22"/>
      <c r="EO39" s="22"/>
      <c r="EP39" s="22"/>
      <c r="EQ39" s="22">
        <v>1615</v>
      </c>
      <c r="ER39" s="22"/>
      <c r="ES39" s="22"/>
      <c r="ET39" s="22"/>
      <c r="EU39" s="22"/>
      <c r="EV39" s="22"/>
      <c r="EW39" s="4">
        <v>19</v>
      </c>
      <c r="EY39" s="13"/>
      <c r="EZ39" s="13"/>
      <c r="FB39" s="6"/>
      <c r="FC39" s="6"/>
      <c r="FD39" s="6"/>
      <c r="FE39" s="6"/>
      <c r="FF39" s="6"/>
      <c r="FG39" s="6"/>
    </row>
    <row r="40" spans="1:163" s="4" customFormat="1" ht="12.9" customHeight="1" x14ac:dyDescent="0.2">
      <c r="A40" s="7"/>
      <c r="B40" s="8"/>
      <c r="C40" s="23"/>
      <c r="D40" s="29"/>
      <c r="E40" s="30" t="s">
        <v>123</v>
      </c>
      <c r="F40" s="24"/>
      <c r="G40" s="24"/>
      <c r="H40" s="24"/>
      <c r="I40" s="24"/>
      <c r="J40" s="24"/>
      <c r="K40" s="24" t="s">
        <v>124</v>
      </c>
      <c r="L40" s="24"/>
      <c r="M40" s="24"/>
      <c r="N40" s="24"/>
      <c r="O40" s="24"/>
      <c r="P40" s="24"/>
      <c r="Q40" s="137" t="s">
        <v>125</v>
      </c>
      <c r="R40" s="137"/>
      <c r="S40" s="137"/>
      <c r="T40" s="137"/>
      <c r="U40" s="137"/>
      <c r="V40" s="137"/>
      <c r="W40" s="137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65"/>
      <c r="AM40" s="25"/>
      <c r="AN40" s="7"/>
      <c r="AS40" s="4" t="str">
        <f>IF(Q44="Latitude Error","true","false")</f>
        <v>false</v>
      </c>
      <c r="CC40" s="4" t="s">
        <v>126</v>
      </c>
      <c r="DZ40" s="4">
        <v>20</v>
      </c>
      <c r="EA40" s="22">
        <v>18000</v>
      </c>
      <c r="EB40" s="22"/>
      <c r="EC40" s="22"/>
      <c r="ED40" s="22"/>
      <c r="EE40" s="22">
        <v>1750</v>
      </c>
      <c r="EF40" s="22"/>
      <c r="EG40" s="22"/>
      <c r="EH40" s="22"/>
      <c r="EI40" s="22"/>
      <c r="EJ40" s="22">
        <v>1047</v>
      </c>
      <c r="EK40" s="22"/>
      <c r="EL40" s="22"/>
      <c r="EM40" s="22"/>
      <c r="EN40" s="22"/>
      <c r="EO40" s="22"/>
      <c r="EP40" s="22"/>
      <c r="EQ40" s="22">
        <v>1750</v>
      </c>
      <c r="ER40" s="22"/>
      <c r="ES40" s="22"/>
      <c r="ET40" s="22"/>
      <c r="EU40" s="22"/>
      <c r="EV40" s="22"/>
      <c r="EW40" s="4">
        <v>20</v>
      </c>
      <c r="EY40" s="13"/>
      <c r="EZ40" s="13"/>
      <c r="FB40" s="6"/>
      <c r="FC40" s="6"/>
      <c r="FD40" s="6"/>
      <c r="FE40" s="6"/>
      <c r="FF40" s="6"/>
      <c r="FG40" s="6"/>
    </row>
    <row r="41" spans="1:163" s="4" customFormat="1" ht="12.9" customHeight="1" x14ac:dyDescent="0.2">
      <c r="A41" s="7"/>
      <c r="B41" s="8"/>
      <c r="C41" s="23"/>
      <c r="D41" s="29"/>
      <c r="E41" s="24"/>
      <c r="F41" s="138"/>
      <c r="G41" s="19" t="s">
        <v>127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8"/>
      <c r="U41" s="24"/>
      <c r="V41" s="24"/>
      <c r="W41" s="138"/>
      <c r="X41" s="19" t="s">
        <v>128</v>
      </c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28"/>
      <c r="AL41" s="65"/>
      <c r="AM41" s="25"/>
      <c r="AN41" s="7"/>
      <c r="AS41" s="4" t="str">
        <f>IF(AH44="Latitude Error","true","false")</f>
        <v>false</v>
      </c>
      <c r="BN41" s="4" t="s">
        <v>129</v>
      </c>
      <c r="CC41" s="12" t="s">
        <v>130</v>
      </c>
      <c r="CD41" s="12"/>
      <c r="CE41" s="12"/>
      <c r="CF41" s="12"/>
      <c r="CG41" s="12"/>
      <c r="CH41" s="12"/>
      <c r="CI41" s="12"/>
      <c r="CJ41" s="12"/>
      <c r="CK41" s="12" t="s">
        <v>131</v>
      </c>
      <c r="CL41" s="12"/>
      <c r="CM41" s="12"/>
      <c r="CN41" s="12"/>
      <c r="CO41" s="12"/>
      <c r="CP41" s="12"/>
      <c r="CQ41" s="12" t="s">
        <v>132</v>
      </c>
      <c r="CR41" s="12"/>
      <c r="CS41" s="12"/>
      <c r="CT41" s="12"/>
      <c r="CU41" s="12"/>
      <c r="CV41" s="12"/>
      <c r="CW41" s="12"/>
      <c r="CX41" s="12"/>
      <c r="DZ41" s="4">
        <v>21</v>
      </c>
      <c r="EA41" s="22">
        <v>25000</v>
      </c>
      <c r="EB41" s="22"/>
      <c r="EC41" s="22"/>
      <c r="ED41" s="22"/>
      <c r="EE41" s="22">
        <v>2179</v>
      </c>
      <c r="EF41" s="22"/>
      <c r="EG41" s="22"/>
      <c r="EH41" s="22"/>
      <c r="EI41" s="22"/>
      <c r="EJ41" s="22">
        <v>1307</v>
      </c>
      <c r="EK41" s="22"/>
      <c r="EL41" s="22"/>
      <c r="EM41" s="22"/>
      <c r="EN41" s="22"/>
      <c r="EO41" s="22"/>
      <c r="EP41" s="22"/>
      <c r="EQ41" s="22">
        <v>2179</v>
      </c>
      <c r="ER41" s="22"/>
      <c r="ES41" s="22"/>
      <c r="ET41" s="22"/>
      <c r="EU41" s="22"/>
      <c r="EV41" s="22"/>
      <c r="EW41" s="4">
        <v>21</v>
      </c>
      <c r="EY41" s="13"/>
      <c r="EZ41" s="13"/>
      <c r="FB41" s="6"/>
      <c r="FC41" s="6"/>
      <c r="FD41" s="6"/>
      <c r="FE41" s="6"/>
      <c r="FF41" s="6"/>
      <c r="FG41" s="6"/>
    </row>
    <row r="42" spans="1:163" s="4" customFormat="1" ht="12.9" customHeight="1" x14ac:dyDescent="0.2">
      <c r="A42" s="7"/>
      <c r="B42" s="8"/>
      <c r="C42" s="23"/>
      <c r="D42" s="29"/>
      <c r="E42" s="24"/>
      <c r="F42" s="139" t="s">
        <v>97</v>
      </c>
      <c r="G42" s="19" t="s">
        <v>133</v>
      </c>
      <c r="H42" s="19"/>
      <c r="I42" s="19"/>
      <c r="J42" s="19"/>
      <c r="K42" s="19"/>
      <c r="L42" s="19"/>
      <c r="M42" s="19"/>
      <c r="N42" s="19"/>
      <c r="O42" s="135" t="s">
        <v>134</v>
      </c>
      <c r="P42" s="19"/>
      <c r="Q42" s="140" t="str">
        <f>IF(P35="","",IF(Q40=BN41,DG103,IF(Q40=BN42,DG106,IF(Q40=BN43,DG113,"error"))))</f>
        <v/>
      </c>
      <c r="R42" s="141"/>
      <c r="S42" s="141"/>
      <c r="T42" s="142"/>
      <c r="U42" s="60"/>
      <c r="V42" s="95"/>
      <c r="W42" s="139" t="s">
        <v>97</v>
      </c>
      <c r="X42" s="19" t="s">
        <v>135</v>
      </c>
      <c r="Y42" s="19"/>
      <c r="Z42" s="19"/>
      <c r="AA42" s="19"/>
      <c r="AB42" s="19"/>
      <c r="AC42" s="19"/>
      <c r="AD42" s="135"/>
      <c r="AE42" s="19"/>
      <c r="AF42" s="135" t="s">
        <v>134</v>
      </c>
      <c r="AG42" s="19"/>
      <c r="AH42" s="140">
        <f>IF(AF35="","",IF(Q40="API 2000 FIFTH EDITION",CD104,CD107))</f>
        <v>368.9</v>
      </c>
      <c r="AI42" s="141"/>
      <c r="AJ42" s="141"/>
      <c r="AK42" s="142"/>
      <c r="AL42" s="31"/>
      <c r="AM42" s="25"/>
      <c r="AN42" s="7"/>
      <c r="BN42" s="4" t="s">
        <v>136</v>
      </c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 t="s">
        <v>137</v>
      </c>
      <c r="CR42" s="12"/>
      <c r="CS42" s="12"/>
      <c r="CT42" s="12"/>
      <c r="CU42" s="12" t="s">
        <v>138</v>
      </c>
      <c r="CV42" s="12"/>
      <c r="CW42" s="12"/>
      <c r="CX42" s="12"/>
      <c r="CY42" s="22" t="s">
        <v>139</v>
      </c>
      <c r="CZ42" s="22"/>
      <c r="DA42" s="22"/>
      <c r="DB42" s="22"/>
      <c r="DZ42" s="4">
        <v>22</v>
      </c>
      <c r="EA42" s="22">
        <v>30000</v>
      </c>
      <c r="EB42" s="22"/>
      <c r="EC42" s="22"/>
      <c r="ED42" s="22"/>
      <c r="EE42" s="22">
        <v>2495</v>
      </c>
      <c r="EF42" s="22"/>
      <c r="EG42" s="22"/>
      <c r="EH42" s="22"/>
      <c r="EI42" s="22"/>
      <c r="EJ42" s="22">
        <v>1497</v>
      </c>
      <c r="EK42" s="22"/>
      <c r="EL42" s="22"/>
      <c r="EM42" s="22"/>
      <c r="EN42" s="22"/>
      <c r="EO42" s="22"/>
      <c r="EP42" s="22"/>
      <c r="EQ42" s="22">
        <v>2495</v>
      </c>
      <c r="ER42" s="22"/>
      <c r="ES42" s="22"/>
      <c r="ET42" s="22"/>
      <c r="EU42" s="22"/>
      <c r="EV42" s="22"/>
      <c r="EW42" s="4">
        <v>22</v>
      </c>
      <c r="EY42" s="13"/>
      <c r="EZ42" s="13"/>
      <c r="FB42" s="6"/>
      <c r="FC42" s="6"/>
      <c r="FD42" s="6"/>
      <c r="FE42" s="6"/>
      <c r="FF42" s="6"/>
      <c r="FG42" s="6"/>
    </row>
    <row r="43" spans="1:163" s="4" customFormat="1" ht="12.9" customHeight="1" x14ac:dyDescent="0.2">
      <c r="A43" s="7"/>
      <c r="B43" s="8"/>
      <c r="C43" s="23"/>
      <c r="D43" s="29"/>
      <c r="E43" s="24"/>
      <c r="F43" s="139" t="s">
        <v>101</v>
      </c>
      <c r="G43" s="19" t="s">
        <v>140</v>
      </c>
      <c r="H43" s="19"/>
      <c r="I43" s="19"/>
      <c r="J43" s="19"/>
      <c r="K43" s="19"/>
      <c r="L43" s="19"/>
      <c r="M43" s="19"/>
      <c r="N43" s="19"/>
      <c r="O43" s="19"/>
      <c r="P43" s="19"/>
      <c r="Q43" s="138"/>
      <c r="R43" s="19"/>
      <c r="S43" s="19"/>
      <c r="T43" s="28"/>
      <c r="U43" s="24"/>
      <c r="V43" s="95"/>
      <c r="W43" s="139" t="s">
        <v>101</v>
      </c>
      <c r="X43" s="19" t="s">
        <v>141</v>
      </c>
      <c r="Y43" s="19"/>
      <c r="Z43" s="19"/>
      <c r="AA43" s="19"/>
      <c r="AB43" s="19"/>
      <c r="AC43" s="19"/>
      <c r="AD43" s="19"/>
      <c r="AE43" s="19"/>
      <c r="AF43" s="19"/>
      <c r="AG43" s="19"/>
      <c r="AH43" s="138"/>
      <c r="AI43" s="19"/>
      <c r="AJ43" s="19"/>
      <c r="AK43" s="28"/>
      <c r="AL43" s="65"/>
      <c r="AM43" s="25"/>
      <c r="AN43" s="7"/>
      <c r="AS43" s="4" t="str">
        <f>IF(Q40="API 2000 FIFTH EDITION","true","false")</f>
        <v>false</v>
      </c>
      <c r="BN43" s="4" t="s">
        <v>125</v>
      </c>
      <c r="CC43" s="22" t="s">
        <v>142</v>
      </c>
      <c r="CD43" s="22"/>
      <c r="CE43" s="22"/>
      <c r="CF43" s="22"/>
      <c r="CG43" s="22"/>
      <c r="CH43" s="22"/>
      <c r="CI43" s="22"/>
      <c r="CJ43" s="22"/>
      <c r="CK43" s="22" t="s">
        <v>143</v>
      </c>
      <c r="CL43" s="22"/>
      <c r="CM43" s="22"/>
      <c r="CN43" s="22"/>
      <c r="CO43" s="22"/>
      <c r="CP43" s="22"/>
      <c r="CQ43" s="22">
        <v>63150</v>
      </c>
      <c r="CR43" s="22"/>
      <c r="CS43" s="22"/>
      <c r="CT43" s="22"/>
      <c r="CU43" s="22">
        <v>1</v>
      </c>
      <c r="CV43" s="22"/>
      <c r="CW43" s="22"/>
      <c r="CX43" s="22"/>
      <c r="CY43" s="143">
        <f>CQ43*(Q12^CU43)</f>
        <v>43538221.718938634</v>
      </c>
      <c r="CZ43" s="143"/>
      <c r="DA43" s="143"/>
      <c r="DB43" s="143"/>
      <c r="DZ43" s="4">
        <v>23</v>
      </c>
      <c r="EA43" s="22">
        <v>12000</v>
      </c>
      <c r="EB43" s="22"/>
      <c r="EC43" s="22"/>
      <c r="ED43" s="22"/>
      <c r="EE43" s="22">
        <v>1345</v>
      </c>
      <c r="EF43" s="22"/>
      <c r="EG43" s="22"/>
      <c r="EH43" s="22"/>
      <c r="EI43" s="22"/>
      <c r="EJ43" s="22">
        <v>807</v>
      </c>
      <c r="EK43" s="22"/>
      <c r="EL43" s="22"/>
      <c r="EM43" s="22"/>
      <c r="EN43" s="22"/>
      <c r="EO43" s="22"/>
      <c r="EP43" s="22"/>
      <c r="EQ43" s="22">
        <v>1345</v>
      </c>
      <c r="ER43" s="22"/>
      <c r="ES43" s="22"/>
      <c r="ET43" s="22"/>
      <c r="EU43" s="22"/>
      <c r="EV43" s="22"/>
      <c r="EW43" s="4">
        <v>23</v>
      </c>
      <c r="EY43" s="13"/>
      <c r="EZ43" s="13"/>
      <c r="FB43" s="6"/>
      <c r="FC43" s="6"/>
      <c r="FD43" s="6"/>
      <c r="FE43" s="6"/>
      <c r="FF43" s="6"/>
      <c r="FG43" s="6"/>
    </row>
    <row r="44" spans="1:163" s="4" customFormat="1" ht="12.9" customHeight="1" x14ac:dyDescent="0.2">
      <c r="A44" s="7"/>
      <c r="B44" s="8"/>
      <c r="C44" s="23"/>
      <c r="D44" s="29"/>
      <c r="E44" s="24"/>
      <c r="F44" s="29"/>
      <c r="G44" s="24"/>
      <c r="H44" s="24" t="s">
        <v>86</v>
      </c>
      <c r="I44" s="24"/>
      <c r="J44" s="24"/>
      <c r="K44" s="24"/>
      <c r="L44" s="24"/>
      <c r="M44" s="24"/>
      <c r="N44" s="24"/>
      <c r="O44" s="24"/>
      <c r="P44" s="24"/>
      <c r="Q44" s="144">
        <f>IF(Q40=BN41,"N/A",DG124)</f>
        <v>0.32</v>
      </c>
      <c r="R44" s="145"/>
      <c r="S44" s="145"/>
      <c r="T44" s="146"/>
      <c r="U44" s="60"/>
      <c r="V44" s="24"/>
      <c r="W44" s="29"/>
      <c r="X44" s="24"/>
      <c r="Y44" s="24" t="s">
        <v>144</v>
      </c>
      <c r="Z44" s="24"/>
      <c r="AA44" s="24"/>
      <c r="AB44" s="24"/>
      <c r="AC44" s="24"/>
      <c r="AD44" s="24"/>
      <c r="AE44" s="24"/>
      <c r="AF44" s="24"/>
      <c r="AG44" s="24"/>
      <c r="AH44" s="144">
        <f>IF(Q40="","",IF(Q40=BN41,"N/A",CD129))</f>
        <v>6.5</v>
      </c>
      <c r="AI44" s="145"/>
      <c r="AJ44" s="145"/>
      <c r="AK44" s="146"/>
      <c r="AL44" s="31"/>
      <c r="AM44" s="25"/>
      <c r="AN44" s="7"/>
      <c r="AS44" s="4" t="str">
        <f>IF(Q40="API 2000 SIXTH EDITION","true","false")</f>
        <v>false</v>
      </c>
      <c r="CC44" s="22" t="s">
        <v>145</v>
      </c>
      <c r="CD44" s="22"/>
      <c r="CE44" s="22"/>
      <c r="CF44" s="22"/>
      <c r="CG44" s="22"/>
      <c r="CH44" s="22"/>
      <c r="CI44" s="22"/>
      <c r="CJ44" s="22"/>
      <c r="CK44" s="22" t="s">
        <v>143</v>
      </c>
      <c r="CL44" s="22"/>
      <c r="CM44" s="22"/>
      <c r="CN44" s="22"/>
      <c r="CO44" s="22"/>
      <c r="CP44" s="22"/>
      <c r="CQ44" s="22">
        <v>224200</v>
      </c>
      <c r="CR44" s="22"/>
      <c r="CS44" s="22"/>
      <c r="CT44" s="22"/>
      <c r="CU44" s="22">
        <v>0.56599999999999995</v>
      </c>
      <c r="CV44" s="22"/>
      <c r="CW44" s="22"/>
      <c r="CX44" s="22"/>
      <c r="CY44" s="147">
        <f>CQ44*(Q12^CU44)</f>
        <v>9062021.7050876468</v>
      </c>
      <c r="CZ44" s="147"/>
      <c r="DA44" s="147"/>
      <c r="DB44" s="147"/>
      <c r="DZ44" s="4">
        <v>24</v>
      </c>
      <c r="EA44" s="22">
        <v>14000</v>
      </c>
      <c r="EB44" s="22"/>
      <c r="EC44" s="22"/>
      <c r="ED44" s="22"/>
      <c r="EE44" s="22">
        <v>1480</v>
      </c>
      <c r="EF44" s="22"/>
      <c r="EG44" s="22"/>
      <c r="EH44" s="22"/>
      <c r="EI44" s="22"/>
      <c r="EJ44" s="22">
        <v>888</v>
      </c>
      <c r="EK44" s="22"/>
      <c r="EL44" s="22"/>
      <c r="EM44" s="22"/>
      <c r="EN44" s="22"/>
      <c r="EO44" s="22"/>
      <c r="EP44" s="22"/>
      <c r="EQ44" s="22">
        <v>1480</v>
      </c>
      <c r="ER44" s="22"/>
      <c r="ES44" s="22"/>
      <c r="ET44" s="22"/>
      <c r="EU44" s="22"/>
      <c r="EV44" s="22"/>
      <c r="EW44" s="4">
        <v>24</v>
      </c>
      <c r="EY44" s="13"/>
      <c r="EZ44" s="13"/>
      <c r="FB44" s="6"/>
      <c r="FC44" s="6"/>
      <c r="FD44" s="6"/>
      <c r="FE44" s="6"/>
      <c r="FF44" s="6"/>
      <c r="FG44" s="6"/>
    </row>
    <row r="45" spans="1:163" s="4" customFormat="1" ht="12.9" customHeight="1" x14ac:dyDescent="0.2">
      <c r="A45" s="7"/>
      <c r="B45" s="8"/>
      <c r="C45" s="23"/>
      <c r="D45" s="29"/>
      <c r="E45" s="24"/>
      <c r="F45" s="29"/>
      <c r="G45" s="24"/>
      <c r="H45" s="24" t="s">
        <v>146</v>
      </c>
      <c r="I45" s="24"/>
      <c r="J45" s="24"/>
      <c r="K45" s="24"/>
      <c r="L45" s="24"/>
      <c r="M45" s="24"/>
      <c r="N45" s="24"/>
      <c r="O45" s="24"/>
      <c r="P45" s="65"/>
      <c r="Q45" s="148" t="e">
        <f>AH45</f>
        <v>#DIV/0!</v>
      </c>
      <c r="R45" s="149"/>
      <c r="S45" s="149"/>
      <c r="T45" s="150"/>
      <c r="U45" s="60"/>
      <c r="V45" s="24"/>
      <c r="W45" s="29"/>
      <c r="X45" s="24"/>
      <c r="Y45" s="24" t="s">
        <v>146</v>
      </c>
      <c r="Z45" s="24"/>
      <c r="AA45" s="24"/>
      <c r="AB45" s="24"/>
      <c r="AC45" s="24"/>
      <c r="AD45" s="24"/>
      <c r="AE45" s="24"/>
      <c r="AF45" s="24"/>
      <c r="AG45" s="24"/>
      <c r="AH45" s="148" t="e">
        <f>IF(Q40=BN41,"N/A",IF(OR(M18=BL5,M18=BL6),CD130,IF(M18=BL7,CL130,"")))</f>
        <v>#DIV/0!</v>
      </c>
      <c r="AI45" s="149"/>
      <c r="AJ45" s="149"/>
      <c r="AK45" s="150"/>
      <c r="AL45" s="31"/>
      <c r="AM45" s="25"/>
      <c r="AN45" s="7"/>
      <c r="CC45" s="22" t="s">
        <v>147</v>
      </c>
      <c r="CD45" s="22"/>
      <c r="CE45" s="22"/>
      <c r="CF45" s="22"/>
      <c r="CG45" s="22"/>
      <c r="CH45" s="22"/>
      <c r="CI45" s="22"/>
      <c r="CJ45" s="22"/>
      <c r="CK45" s="22" t="s">
        <v>143</v>
      </c>
      <c r="CL45" s="22"/>
      <c r="CM45" s="22"/>
      <c r="CN45" s="22"/>
      <c r="CO45" s="22"/>
      <c r="CP45" s="22"/>
      <c r="CQ45" s="22">
        <v>630400</v>
      </c>
      <c r="CR45" s="22"/>
      <c r="CS45" s="22"/>
      <c r="CT45" s="22"/>
      <c r="CU45" s="22">
        <v>0.33800000000000002</v>
      </c>
      <c r="CV45" s="22"/>
      <c r="CW45" s="22"/>
      <c r="CX45" s="22"/>
      <c r="CY45" s="147">
        <f>CQ45*(Q12^CU45)</f>
        <v>5741538.7814176753</v>
      </c>
      <c r="CZ45" s="147"/>
      <c r="DA45" s="147"/>
      <c r="DB45" s="147"/>
      <c r="DZ45" s="4">
        <v>25</v>
      </c>
      <c r="EA45" s="22">
        <v>16000</v>
      </c>
      <c r="EB45" s="22"/>
      <c r="EC45" s="22"/>
      <c r="ED45" s="22"/>
      <c r="EE45" s="22">
        <v>1615</v>
      </c>
      <c r="EF45" s="22"/>
      <c r="EG45" s="22"/>
      <c r="EH45" s="22"/>
      <c r="EI45" s="22"/>
      <c r="EJ45" s="22">
        <v>969</v>
      </c>
      <c r="EK45" s="22"/>
      <c r="EL45" s="22"/>
      <c r="EM45" s="22"/>
      <c r="EN45" s="22"/>
      <c r="EO45" s="22"/>
      <c r="EP45" s="22"/>
      <c r="EQ45" s="22">
        <v>1615</v>
      </c>
      <c r="ER45" s="22"/>
      <c r="ES45" s="22"/>
      <c r="ET45" s="22"/>
      <c r="EU45" s="22"/>
      <c r="EV45" s="22"/>
      <c r="EW45" s="4">
        <v>25</v>
      </c>
      <c r="EY45" s="13"/>
      <c r="EZ45" s="13"/>
      <c r="FB45" s="6"/>
      <c r="FC45" s="6"/>
      <c r="FD45" s="6"/>
      <c r="FE45" s="6"/>
      <c r="FF45" s="6"/>
      <c r="FG45" s="6"/>
    </row>
    <row r="46" spans="1:163" s="4" customFormat="1" ht="12.9" customHeight="1" x14ac:dyDescent="0.2">
      <c r="A46" s="7"/>
      <c r="B46" s="8"/>
      <c r="C46" s="23"/>
      <c r="D46" s="29"/>
      <c r="E46" s="24"/>
      <c r="F46" s="29"/>
      <c r="G46" s="24"/>
      <c r="H46" s="24" t="s">
        <v>140</v>
      </c>
      <c r="I46" s="24"/>
      <c r="J46" s="24"/>
      <c r="K46" s="24"/>
      <c r="L46" s="24"/>
      <c r="M46" s="24"/>
      <c r="N46" s="24"/>
      <c r="O46" s="35" t="s">
        <v>134</v>
      </c>
      <c r="P46" s="24"/>
      <c r="Q46" s="151" t="e">
        <f>IF(Q10="","",IF(Q40=BN41,DG119,DG126))</f>
        <v>#DIV/0!</v>
      </c>
      <c r="R46" s="51"/>
      <c r="S46" s="51"/>
      <c r="T46" s="152"/>
      <c r="U46" s="60"/>
      <c r="V46" s="24"/>
      <c r="W46" s="29"/>
      <c r="X46" s="24"/>
      <c r="Y46" s="24" t="s">
        <v>141</v>
      </c>
      <c r="Z46" s="24"/>
      <c r="AA46" s="24"/>
      <c r="AB46" s="24"/>
      <c r="AC46" s="24"/>
      <c r="AD46" s="35"/>
      <c r="AE46" s="24"/>
      <c r="AF46" s="35" t="s">
        <v>134</v>
      </c>
      <c r="AG46" s="24"/>
      <c r="AH46" s="151" t="e">
        <f>IF(Q40="API 2000 FIFTH EDITION",CD115,IF(OR(AD9="",AH44="",AH45=""),"",CD131))</f>
        <v>#DIV/0!</v>
      </c>
      <c r="AI46" s="51"/>
      <c r="AJ46" s="51"/>
      <c r="AK46" s="152"/>
      <c r="AL46" s="153"/>
      <c r="AM46" s="25"/>
      <c r="AN46" s="7"/>
      <c r="AS46" s="4" t="e">
        <f>IF(Q45=BN39,MID(Q45,15,1),Q45)</f>
        <v>#DIV/0!</v>
      </c>
      <c r="AT46" s="4" t="e">
        <f>IF(AH45=BN39,MID(AH45,15,1),AH45)</f>
        <v>#DIV/0!</v>
      </c>
      <c r="CC46" s="22" t="s">
        <v>148</v>
      </c>
      <c r="CD46" s="22"/>
      <c r="CE46" s="22"/>
      <c r="CF46" s="22"/>
      <c r="CG46" s="22"/>
      <c r="CH46" s="22"/>
      <c r="CI46" s="22"/>
      <c r="CJ46" s="22"/>
      <c r="CK46" s="22" t="s">
        <v>149</v>
      </c>
      <c r="CL46" s="22"/>
      <c r="CM46" s="22"/>
      <c r="CN46" s="22"/>
      <c r="CO46" s="22"/>
      <c r="CP46" s="22"/>
      <c r="CQ46" s="22">
        <v>43200</v>
      </c>
      <c r="CR46" s="22"/>
      <c r="CS46" s="22"/>
      <c r="CT46" s="22"/>
      <c r="CU46" s="22">
        <v>0.82</v>
      </c>
      <c r="CV46" s="22"/>
      <c r="CW46" s="22"/>
      <c r="CX46" s="22"/>
      <c r="CY46" s="143">
        <f>CQ46*(Q12^CU46)</f>
        <v>9184416.2622609157</v>
      </c>
      <c r="CZ46" s="143"/>
      <c r="DA46" s="143"/>
      <c r="DB46" s="143"/>
      <c r="DZ46" s="4">
        <v>26</v>
      </c>
      <c r="EA46" s="22">
        <v>18000</v>
      </c>
      <c r="EB46" s="22"/>
      <c r="EC46" s="22"/>
      <c r="ED46" s="22"/>
      <c r="EE46" s="22">
        <v>1750</v>
      </c>
      <c r="EF46" s="22"/>
      <c r="EG46" s="22"/>
      <c r="EH46" s="22"/>
      <c r="EI46" s="22"/>
      <c r="EJ46" s="22">
        <v>1047</v>
      </c>
      <c r="EK46" s="22"/>
      <c r="EL46" s="22"/>
      <c r="EM46" s="22"/>
      <c r="EN46" s="22"/>
      <c r="EO46" s="22"/>
      <c r="EP46" s="22"/>
      <c r="EQ46" s="22">
        <v>1750</v>
      </c>
      <c r="ER46" s="22"/>
      <c r="ES46" s="22"/>
      <c r="ET46" s="22"/>
      <c r="EU46" s="22"/>
      <c r="EV46" s="22"/>
      <c r="EW46" s="4">
        <v>26</v>
      </c>
      <c r="EY46" s="13"/>
      <c r="EZ46" s="13"/>
      <c r="FB46" s="6"/>
      <c r="FC46" s="6"/>
      <c r="FD46" s="6"/>
      <c r="FE46" s="6"/>
      <c r="FF46" s="6"/>
      <c r="FG46" s="6"/>
    </row>
    <row r="47" spans="1:163" s="4" customFormat="1" ht="12.9" customHeight="1" thickBot="1" x14ac:dyDescent="0.25">
      <c r="A47" s="7"/>
      <c r="B47" s="8"/>
      <c r="C47" s="23"/>
      <c r="D47" s="29"/>
      <c r="E47" s="24"/>
      <c r="F47" s="154"/>
      <c r="G47" s="155" t="s">
        <v>150</v>
      </c>
      <c r="H47" s="155"/>
      <c r="I47" s="155"/>
      <c r="J47" s="155"/>
      <c r="K47" s="155"/>
      <c r="L47" s="155"/>
      <c r="M47" s="155"/>
      <c r="N47" s="155"/>
      <c r="O47" s="156" t="s">
        <v>134</v>
      </c>
      <c r="P47" s="157"/>
      <c r="Q47" s="158" t="str">
        <f>IF(Q42="","",SUM(Q42,Q46))</f>
        <v/>
      </c>
      <c r="R47" s="159"/>
      <c r="S47" s="159"/>
      <c r="T47" s="160"/>
      <c r="U47" s="161"/>
      <c r="V47" s="24"/>
      <c r="W47" s="154"/>
      <c r="X47" s="155" t="s">
        <v>151</v>
      </c>
      <c r="Y47" s="155"/>
      <c r="Z47" s="155"/>
      <c r="AA47" s="155"/>
      <c r="AB47" s="155"/>
      <c r="AC47" s="155"/>
      <c r="AD47" s="156"/>
      <c r="AE47" s="155"/>
      <c r="AF47" s="156" t="s">
        <v>134</v>
      </c>
      <c r="AG47" s="157"/>
      <c r="AH47" s="158" t="e">
        <f>IF(AH42="","",SUM(AH42,AH46))</f>
        <v>#DIV/0!</v>
      </c>
      <c r="AI47" s="159"/>
      <c r="AJ47" s="159"/>
      <c r="AK47" s="160"/>
      <c r="AL47" s="153"/>
      <c r="AM47" s="25"/>
      <c r="AN47" s="7"/>
      <c r="CC47" s="22" t="s">
        <v>148</v>
      </c>
      <c r="CD47" s="22"/>
      <c r="CE47" s="22"/>
      <c r="CF47" s="22"/>
      <c r="CG47" s="22"/>
      <c r="CH47" s="22"/>
      <c r="CI47" s="22"/>
      <c r="CJ47" s="22"/>
      <c r="CK47" s="22" t="s">
        <v>152</v>
      </c>
      <c r="CL47" s="22"/>
      <c r="CM47" s="22"/>
      <c r="CN47" s="22"/>
      <c r="CO47" s="22"/>
      <c r="CP47" s="22"/>
      <c r="CQ47" s="22">
        <v>4129700</v>
      </c>
      <c r="CR47" s="22"/>
      <c r="CS47" s="22"/>
      <c r="CT47" s="22"/>
      <c r="CU47" s="22">
        <v>0</v>
      </c>
      <c r="CV47" s="22"/>
      <c r="CW47" s="22"/>
      <c r="CX47" s="22"/>
      <c r="CY47" s="143">
        <f>CQ47</f>
        <v>4129700</v>
      </c>
      <c r="CZ47" s="143"/>
      <c r="DA47" s="143"/>
      <c r="DB47" s="143"/>
      <c r="DZ47" s="4">
        <v>27</v>
      </c>
      <c r="EA47" s="22">
        <v>25000</v>
      </c>
      <c r="EB47" s="22"/>
      <c r="EC47" s="22"/>
      <c r="ED47" s="22"/>
      <c r="EE47" s="22">
        <v>2179</v>
      </c>
      <c r="EF47" s="22"/>
      <c r="EG47" s="22"/>
      <c r="EH47" s="22"/>
      <c r="EI47" s="22"/>
      <c r="EJ47" s="22">
        <v>1307</v>
      </c>
      <c r="EK47" s="22"/>
      <c r="EL47" s="22"/>
      <c r="EM47" s="22"/>
      <c r="EN47" s="22"/>
      <c r="EO47" s="22"/>
      <c r="EP47" s="22"/>
      <c r="EQ47" s="22">
        <v>2179</v>
      </c>
      <c r="ER47" s="22"/>
      <c r="ES47" s="22"/>
      <c r="ET47" s="22"/>
      <c r="EU47" s="22"/>
      <c r="EV47" s="22"/>
      <c r="EW47" s="4">
        <v>27</v>
      </c>
      <c r="EY47" s="13"/>
      <c r="EZ47" s="13"/>
      <c r="FB47" s="6"/>
      <c r="FC47" s="6"/>
      <c r="FD47" s="6"/>
      <c r="FE47" s="6"/>
      <c r="FF47" s="6"/>
      <c r="FG47" s="6"/>
    </row>
    <row r="48" spans="1:163" s="4" customFormat="1" ht="12.9" customHeight="1" thickTop="1" x14ac:dyDescent="0.2">
      <c r="A48" s="7"/>
      <c r="B48" s="8"/>
      <c r="C48" s="23"/>
      <c r="D48" s="29"/>
      <c r="E48" s="24"/>
      <c r="F48" s="19"/>
      <c r="G48" s="162"/>
      <c r="H48" s="163"/>
      <c r="I48" s="19"/>
      <c r="J48" s="19"/>
      <c r="K48" s="19"/>
      <c r="L48" s="19"/>
      <c r="M48" s="19"/>
      <c r="N48" s="19"/>
      <c r="O48" s="164"/>
      <c r="P48" s="19"/>
      <c r="Q48" s="165"/>
      <c r="R48" s="165"/>
      <c r="S48" s="165"/>
      <c r="T48" s="165"/>
      <c r="U48" s="161"/>
      <c r="V48" s="24"/>
      <c r="W48" s="19"/>
      <c r="X48" s="19"/>
      <c r="Y48" s="163"/>
      <c r="Z48" s="19"/>
      <c r="AA48" s="19"/>
      <c r="AB48" s="19"/>
      <c r="AC48" s="19"/>
      <c r="AD48" s="19"/>
      <c r="AE48" s="19"/>
      <c r="AF48" s="164"/>
      <c r="AG48" s="19"/>
      <c r="AH48" s="165"/>
      <c r="AI48" s="165"/>
      <c r="AJ48" s="165"/>
      <c r="AK48" s="165"/>
      <c r="AL48" s="153"/>
      <c r="AM48" s="25"/>
      <c r="AN48" s="7"/>
      <c r="AS48" s="4" t="str">
        <f>IF(U51="Design Pressure over 103.5 kPag","true","false")</f>
        <v>false</v>
      </c>
      <c r="DZ48" s="4">
        <v>28</v>
      </c>
      <c r="EA48" s="22">
        <v>30000</v>
      </c>
      <c r="EB48" s="22"/>
      <c r="EC48" s="22"/>
      <c r="ED48" s="22"/>
      <c r="EE48" s="22">
        <v>2495</v>
      </c>
      <c r="EF48" s="22"/>
      <c r="EG48" s="22"/>
      <c r="EH48" s="22"/>
      <c r="EI48" s="22"/>
      <c r="EJ48" s="22">
        <v>1497</v>
      </c>
      <c r="EK48" s="22"/>
      <c r="EL48" s="22"/>
      <c r="EM48" s="22"/>
      <c r="EN48" s="22"/>
      <c r="EO48" s="22"/>
      <c r="EP48" s="22"/>
      <c r="EQ48" s="22">
        <v>2495</v>
      </c>
      <c r="ER48" s="22"/>
      <c r="ES48" s="22"/>
      <c r="ET48" s="22"/>
      <c r="EU48" s="22"/>
      <c r="EV48" s="22"/>
      <c r="EW48" s="4">
        <v>28</v>
      </c>
      <c r="EY48" s="13"/>
      <c r="EZ48" s="13"/>
      <c r="FB48" s="6"/>
      <c r="FC48" s="6"/>
      <c r="FD48" s="6"/>
      <c r="FE48" s="6"/>
      <c r="FF48" s="6"/>
      <c r="FG48" s="6"/>
    </row>
    <row r="49" spans="1:163" s="4" customFormat="1" ht="12.9" customHeight="1" x14ac:dyDescent="0.2">
      <c r="A49" s="7"/>
      <c r="B49" s="8"/>
      <c r="C49" s="23"/>
      <c r="D49" s="29"/>
      <c r="E49" s="30" t="s">
        <v>153</v>
      </c>
      <c r="F49" s="24"/>
      <c r="G49" s="24"/>
      <c r="H49" s="24"/>
      <c r="I49" s="24"/>
      <c r="J49" s="24"/>
      <c r="K49" s="24"/>
      <c r="L49" s="24"/>
      <c r="M49" s="24"/>
      <c r="N49" s="24"/>
      <c r="O49" s="35"/>
      <c r="P49" s="24"/>
      <c r="Q49" s="166"/>
      <c r="R49" s="60"/>
      <c r="S49" s="60"/>
      <c r="T49" s="60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35"/>
      <c r="AG49" s="24"/>
      <c r="AH49" s="166"/>
      <c r="AI49" s="166"/>
      <c r="AJ49" s="166"/>
      <c r="AK49" s="166"/>
      <c r="AL49" s="153"/>
      <c r="AM49" s="25"/>
      <c r="AN49" s="7"/>
      <c r="CC49" s="4" t="s">
        <v>154</v>
      </c>
      <c r="EY49" s="13"/>
      <c r="EZ49" s="13"/>
      <c r="FB49" s="6"/>
      <c r="FC49" s="6"/>
      <c r="FD49" s="6"/>
      <c r="FE49" s="6"/>
      <c r="FF49" s="6"/>
      <c r="FG49" s="6"/>
    </row>
    <row r="50" spans="1:163" s="4" customFormat="1" ht="12.9" hidden="1" customHeight="1" thickTop="1" x14ac:dyDescent="0.2">
      <c r="A50" s="7"/>
      <c r="B50" s="8"/>
      <c r="C50" s="23"/>
      <c r="D50" s="29"/>
      <c r="E50" s="30" t="s">
        <v>153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65"/>
      <c r="AM50" s="25"/>
      <c r="AN50" s="7"/>
      <c r="EY50" s="13"/>
      <c r="EZ50" s="13"/>
      <c r="FB50" s="6"/>
      <c r="FC50" s="6"/>
      <c r="FD50" s="6"/>
      <c r="FE50" s="6"/>
      <c r="FF50" s="6"/>
      <c r="FG50" s="6"/>
    </row>
    <row r="51" spans="1:163" s="4" customFormat="1" ht="12.9" customHeight="1" x14ac:dyDescent="0.2">
      <c r="A51" s="7"/>
      <c r="B51" s="8"/>
      <c r="C51" s="23"/>
      <c r="D51" s="29"/>
      <c r="E51" s="24" t="s">
        <v>155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T51" s="24"/>
      <c r="U51" s="167">
        <f>IF(Q12="","",FA114)</f>
        <v>5741538.7814176753</v>
      </c>
      <c r="V51" s="168"/>
      <c r="W51" s="168"/>
      <c r="X51" s="168"/>
      <c r="Y51" s="168"/>
      <c r="Z51" s="168"/>
      <c r="AA51" s="168"/>
      <c r="AB51" s="168"/>
      <c r="AC51" s="169"/>
      <c r="AD51" s="24"/>
      <c r="AE51" s="24"/>
      <c r="AF51" s="24" t="s">
        <v>156</v>
      </c>
      <c r="AG51" s="24"/>
      <c r="AH51" s="24"/>
      <c r="AI51" s="24"/>
      <c r="AJ51" s="24"/>
      <c r="AK51" s="24"/>
      <c r="AL51" s="65"/>
      <c r="AM51" s="25"/>
      <c r="AN51" s="7"/>
      <c r="CC51" s="12" t="s">
        <v>157</v>
      </c>
      <c r="CD51" s="12"/>
      <c r="CE51" s="12"/>
      <c r="CF51" s="12"/>
      <c r="CG51" s="12"/>
      <c r="CH51" s="12"/>
      <c r="CI51" s="12"/>
      <c r="CJ51" s="12"/>
      <c r="CK51" s="4" t="s">
        <v>158</v>
      </c>
      <c r="EY51" s="13"/>
      <c r="EZ51" s="13"/>
      <c r="FB51" s="6"/>
      <c r="FC51" s="6"/>
      <c r="FD51" s="6"/>
      <c r="FE51" s="6"/>
      <c r="FF51" s="6"/>
      <c r="FG51" s="6"/>
    </row>
    <row r="52" spans="1:163" s="4" customFormat="1" ht="12.9" customHeight="1" x14ac:dyDescent="0.2">
      <c r="A52" s="7"/>
      <c r="B52" s="8"/>
      <c r="C52" s="23"/>
      <c r="D52" s="29"/>
      <c r="E52" s="24" t="s">
        <v>159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170">
        <v>1</v>
      </c>
      <c r="V52" s="171"/>
      <c r="W52" s="171"/>
      <c r="X52" s="171"/>
      <c r="Y52" s="171"/>
      <c r="Z52" s="171"/>
      <c r="AA52" s="171"/>
      <c r="AB52" s="171"/>
      <c r="AC52" s="172"/>
      <c r="AD52" s="24"/>
      <c r="AE52" s="24"/>
      <c r="AF52" s="24"/>
      <c r="AG52" s="24"/>
      <c r="AH52" s="24"/>
      <c r="AI52" s="24"/>
      <c r="AJ52" s="24"/>
      <c r="AK52" s="24"/>
      <c r="AL52" s="65"/>
      <c r="AM52" s="25"/>
      <c r="AN52" s="7"/>
      <c r="CC52" s="22">
        <v>2</v>
      </c>
      <c r="CD52" s="22"/>
      <c r="CE52" s="22"/>
      <c r="CF52" s="22"/>
      <c r="CG52" s="22"/>
      <c r="CH52" s="22"/>
      <c r="CI52" s="22"/>
      <c r="CJ52" s="22"/>
      <c r="CK52" s="22">
        <v>608</v>
      </c>
      <c r="CL52" s="22"/>
      <c r="CM52" s="22"/>
      <c r="CN52" s="22"/>
      <c r="CO52" s="22"/>
      <c r="CP52" s="22"/>
      <c r="EY52" s="13"/>
      <c r="EZ52" s="13"/>
      <c r="FB52" s="6"/>
      <c r="FC52" s="6"/>
      <c r="FD52" s="6"/>
      <c r="FE52" s="6"/>
      <c r="FF52" s="6"/>
      <c r="FG52" s="6"/>
    </row>
    <row r="53" spans="1:163" s="4" customFormat="1" ht="12.9" customHeight="1" thickBot="1" x14ac:dyDescent="0.25">
      <c r="A53" s="7"/>
      <c r="B53" s="8"/>
      <c r="C53" s="23"/>
      <c r="D53" s="29"/>
      <c r="E53" s="24" t="s">
        <v>160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T53" s="24"/>
      <c r="U53" s="173">
        <f>IF(U51="","",IF(U52="","Input F factor",FA120))</f>
        <v>28451.935781580785</v>
      </c>
      <c r="V53" s="174"/>
      <c r="W53" s="174"/>
      <c r="X53" s="174"/>
      <c r="Y53" s="174"/>
      <c r="Z53" s="174"/>
      <c r="AA53" s="174"/>
      <c r="AB53" s="174"/>
      <c r="AC53" s="175"/>
      <c r="AD53" s="24"/>
      <c r="AE53" s="24"/>
      <c r="AF53" s="176" t="s">
        <v>161</v>
      </c>
      <c r="AG53" s="24"/>
      <c r="AH53" s="24"/>
      <c r="AI53" s="24"/>
      <c r="AJ53" s="24"/>
      <c r="AK53" s="24"/>
      <c r="AL53" s="65"/>
      <c r="AM53" s="25"/>
      <c r="AN53" s="7"/>
      <c r="CC53" s="22">
        <v>3</v>
      </c>
      <c r="CD53" s="22"/>
      <c r="CE53" s="22"/>
      <c r="CF53" s="22"/>
      <c r="CG53" s="22"/>
      <c r="CH53" s="22"/>
      <c r="CI53" s="22"/>
      <c r="CJ53" s="22"/>
      <c r="CK53" s="22">
        <v>913</v>
      </c>
      <c r="CL53" s="22"/>
      <c r="CM53" s="22"/>
      <c r="CN53" s="22"/>
      <c r="CO53" s="22"/>
      <c r="CP53" s="22"/>
      <c r="EY53" s="13"/>
      <c r="EZ53" s="13"/>
      <c r="FB53" s="6"/>
      <c r="FC53" s="6"/>
      <c r="FD53" s="6"/>
      <c r="FE53" s="6"/>
      <c r="FF53" s="6"/>
      <c r="FG53" s="6"/>
    </row>
    <row r="54" spans="1:163" s="104" customFormat="1" ht="12.9" customHeight="1" thickTop="1" x14ac:dyDescent="0.2">
      <c r="A54" s="7"/>
      <c r="B54" s="8"/>
      <c r="C54" s="23"/>
      <c r="D54" s="29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65"/>
      <c r="AM54" s="25"/>
      <c r="AN54" s="7"/>
      <c r="CC54" s="105">
        <v>9</v>
      </c>
      <c r="CD54" s="105"/>
      <c r="CE54" s="105"/>
      <c r="CF54" s="105"/>
      <c r="CG54" s="105"/>
      <c r="CH54" s="105"/>
      <c r="CI54" s="105"/>
      <c r="CJ54" s="105"/>
      <c r="CK54" s="105">
        <v>2738</v>
      </c>
      <c r="CL54" s="105"/>
      <c r="CM54" s="105"/>
      <c r="CN54" s="105"/>
      <c r="CO54" s="105"/>
      <c r="CP54" s="105"/>
      <c r="EY54" s="109"/>
      <c r="EZ54" s="109"/>
      <c r="FB54" s="6"/>
      <c r="FC54" s="6"/>
      <c r="FD54" s="6"/>
      <c r="FE54" s="6"/>
      <c r="FF54" s="6"/>
      <c r="FG54" s="6"/>
    </row>
    <row r="55" spans="1:163" s="104" customFormat="1" ht="12.9" customHeight="1" x14ac:dyDescent="0.2">
      <c r="A55" s="7"/>
      <c r="B55" s="8"/>
      <c r="C55" s="23"/>
      <c r="D55" s="29"/>
      <c r="E55" s="30" t="s">
        <v>58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65"/>
      <c r="AM55" s="25"/>
      <c r="AN55" s="7"/>
      <c r="CC55" s="105">
        <v>11</v>
      </c>
      <c r="CD55" s="105"/>
      <c r="CE55" s="105"/>
      <c r="CF55" s="105"/>
      <c r="CG55" s="105"/>
      <c r="CH55" s="105"/>
      <c r="CI55" s="105"/>
      <c r="CJ55" s="105"/>
      <c r="CK55" s="105">
        <v>3347</v>
      </c>
      <c r="CL55" s="105"/>
      <c r="CM55" s="105"/>
      <c r="CN55" s="105"/>
      <c r="CO55" s="105"/>
      <c r="CP55" s="105"/>
      <c r="EY55" s="109"/>
      <c r="EZ55" s="109"/>
      <c r="FB55" s="6"/>
      <c r="FC55" s="6"/>
      <c r="FD55" s="6"/>
      <c r="FE55" s="6"/>
      <c r="FF55" s="6"/>
      <c r="FG55" s="6"/>
    </row>
    <row r="56" spans="1:163" s="104" customFormat="1" ht="12.9" customHeight="1" x14ac:dyDescent="0.2">
      <c r="A56" s="7"/>
      <c r="B56" s="8"/>
      <c r="C56" s="23"/>
      <c r="D56" s="29"/>
      <c r="E56" s="24" t="s">
        <v>162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35" t="s">
        <v>134</v>
      </c>
      <c r="T56" s="24"/>
      <c r="U56" s="177" t="str">
        <f>IF(AH16="","",3.48*((AH16/1000)^2)*SQRT(AH17/1000)*3600*0.94)</f>
        <v/>
      </c>
      <c r="V56" s="178"/>
      <c r="W56" s="178"/>
      <c r="X56" s="178"/>
      <c r="Y56" s="178"/>
      <c r="Z56" s="178"/>
      <c r="AA56" s="178"/>
      <c r="AB56" s="178"/>
      <c r="AC56" s="179"/>
      <c r="AD56" s="24"/>
      <c r="AE56" s="24"/>
      <c r="AF56" s="24"/>
      <c r="AG56" s="24"/>
      <c r="AH56" s="24"/>
      <c r="AI56" s="24"/>
      <c r="AJ56" s="24"/>
      <c r="AK56" s="24"/>
      <c r="AL56" s="65"/>
      <c r="AM56" s="25"/>
      <c r="AN56" s="7"/>
      <c r="CC56" s="105">
        <v>13</v>
      </c>
      <c r="CD56" s="105"/>
      <c r="CE56" s="105"/>
      <c r="CF56" s="105"/>
      <c r="CG56" s="105"/>
      <c r="CH56" s="105"/>
      <c r="CI56" s="105"/>
      <c r="CJ56" s="105"/>
      <c r="CK56" s="105">
        <v>3955</v>
      </c>
      <c r="CL56" s="105"/>
      <c r="CM56" s="105"/>
      <c r="CN56" s="105"/>
      <c r="CO56" s="105"/>
      <c r="CP56" s="105"/>
      <c r="EY56" s="109"/>
      <c r="EZ56" s="109"/>
      <c r="FB56" s="6"/>
      <c r="FC56" s="6"/>
      <c r="FD56" s="6"/>
      <c r="FE56" s="6"/>
      <c r="FF56" s="6"/>
      <c r="FG56" s="6"/>
    </row>
    <row r="57" spans="1:163" s="104" customFormat="1" ht="12.9" customHeight="1" x14ac:dyDescent="0.2">
      <c r="A57" s="7"/>
      <c r="B57" s="8"/>
      <c r="C57" s="23"/>
      <c r="D57" s="124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8"/>
      <c r="AM57" s="25"/>
      <c r="AN57" s="7"/>
      <c r="CC57" s="105">
        <v>15</v>
      </c>
      <c r="CD57" s="105"/>
      <c r="CE57" s="105"/>
      <c r="CF57" s="105"/>
      <c r="CG57" s="105"/>
      <c r="CH57" s="105"/>
      <c r="CI57" s="105"/>
      <c r="CJ57" s="105"/>
      <c r="CK57" s="105">
        <v>4563</v>
      </c>
      <c r="CL57" s="105"/>
      <c r="CM57" s="105"/>
      <c r="CN57" s="105"/>
      <c r="CO57" s="105"/>
      <c r="CP57" s="105"/>
      <c r="EY57" s="109"/>
      <c r="EZ57" s="109"/>
      <c r="FB57" s="6"/>
      <c r="FC57" s="6"/>
      <c r="FD57" s="6"/>
      <c r="FE57" s="6"/>
      <c r="FF57" s="6"/>
      <c r="FG57" s="6"/>
    </row>
    <row r="58" spans="1:163" s="104" customFormat="1" ht="12.9" customHeight="1" x14ac:dyDescent="0.2">
      <c r="A58" s="7"/>
      <c r="B58" s="8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5"/>
      <c r="AN58" s="7"/>
      <c r="CC58" s="105">
        <v>17</v>
      </c>
      <c r="CD58" s="105"/>
      <c r="CE58" s="105"/>
      <c r="CF58" s="105"/>
      <c r="CG58" s="105"/>
      <c r="CH58" s="105"/>
      <c r="CI58" s="105"/>
      <c r="CJ58" s="105"/>
      <c r="CK58" s="105">
        <v>5172</v>
      </c>
      <c r="CL58" s="105"/>
      <c r="CM58" s="105"/>
      <c r="CN58" s="105"/>
      <c r="CO58" s="105"/>
      <c r="CP58" s="105"/>
      <c r="EY58" s="109"/>
      <c r="EZ58" s="109"/>
      <c r="FB58" s="6"/>
      <c r="FC58" s="6"/>
      <c r="FD58" s="6"/>
      <c r="FE58" s="6"/>
      <c r="FF58" s="6"/>
      <c r="FG58" s="6"/>
    </row>
    <row r="59" spans="1:163" s="104" customFormat="1" ht="12.9" customHeight="1" x14ac:dyDescent="0.2">
      <c r="A59" s="7"/>
      <c r="B59" s="8"/>
      <c r="C59" s="23"/>
      <c r="D59" s="24" t="s">
        <v>163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5"/>
      <c r="AN59" s="7"/>
      <c r="CC59" s="105">
        <v>19</v>
      </c>
      <c r="CD59" s="105"/>
      <c r="CE59" s="105"/>
      <c r="CF59" s="105"/>
      <c r="CG59" s="105"/>
      <c r="CH59" s="105"/>
      <c r="CI59" s="105"/>
      <c r="CJ59" s="105"/>
      <c r="CK59" s="105">
        <v>5780</v>
      </c>
      <c r="CL59" s="105"/>
      <c r="CM59" s="105"/>
      <c r="CN59" s="105"/>
      <c r="CO59" s="105"/>
      <c r="CP59" s="105"/>
      <c r="EY59" s="109"/>
      <c r="EZ59" s="109"/>
      <c r="FB59" s="6"/>
      <c r="FC59" s="6"/>
      <c r="FD59" s="6"/>
      <c r="FE59" s="6"/>
      <c r="FF59" s="6"/>
      <c r="FG59" s="6"/>
    </row>
    <row r="60" spans="1:163" s="104" customFormat="1" ht="12.9" customHeight="1" x14ac:dyDescent="0.2">
      <c r="A60" s="7"/>
      <c r="B60" s="8"/>
      <c r="C60" s="180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2"/>
      <c r="AN60" s="7"/>
      <c r="CC60" s="105">
        <v>22</v>
      </c>
      <c r="CD60" s="105"/>
      <c r="CE60" s="105"/>
      <c r="CF60" s="105"/>
      <c r="CG60" s="105"/>
      <c r="CH60" s="105"/>
      <c r="CI60" s="105"/>
      <c r="CJ60" s="105"/>
      <c r="CK60" s="105">
        <v>6217</v>
      </c>
      <c r="CL60" s="105"/>
      <c r="CM60" s="105"/>
      <c r="CN60" s="105"/>
      <c r="CO60" s="105"/>
      <c r="CP60" s="105"/>
      <c r="EY60" s="109"/>
      <c r="EZ60" s="109"/>
      <c r="FB60" s="6"/>
      <c r="FC60" s="6"/>
      <c r="FD60" s="6"/>
      <c r="FE60" s="6"/>
      <c r="FF60" s="6"/>
      <c r="FG60" s="6"/>
    </row>
    <row r="61" spans="1:163" s="104" customFormat="1" ht="12.9" customHeight="1" x14ac:dyDescent="0.2">
      <c r="A61" s="7"/>
      <c r="B61" s="8"/>
      <c r="C61" s="180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  <c r="AK61" s="181"/>
      <c r="AL61" s="181"/>
      <c r="AM61" s="182"/>
      <c r="AN61" s="7"/>
      <c r="CC61" s="105">
        <v>25</v>
      </c>
      <c r="CD61" s="105"/>
      <c r="CE61" s="105"/>
      <c r="CF61" s="105"/>
      <c r="CG61" s="105"/>
      <c r="CH61" s="105"/>
      <c r="CI61" s="105"/>
      <c r="CJ61" s="105"/>
      <c r="CK61" s="105">
        <v>6684</v>
      </c>
      <c r="CL61" s="105"/>
      <c r="CM61" s="105"/>
      <c r="CN61" s="105"/>
      <c r="CO61" s="105"/>
      <c r="CP61" s="105"/>
      <c r="EY61" s="109"/>
      <c r="EZ61" s="109"/>
      <c r="FB61" s="6"/>
      <c r="FC61" s="6"/>
      <c r="FD61" s="6"/>
      <c r="FE61" s="6"/>
      <c r="FF61" s="6"/>
      <c r="FG61" s="6"/>
    </row>
    <row r="62" spans="1:163" s="104" customFormat="1" ht="12.9" customHeight="1" x14ac:dyDescent="0.2">
      <c r="A62" s="7"/>
      <c r="B62" s="8"/>
      <c r="C62" s="180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  <c r="AK62" s="181"/>
      <c r="AL62" s="181"/>
      <c r="AM62" s="182"/>
      <c r="AN62" s="7"/>
      <c r="CC62" s="105">
        <v>30</v>
      </c>
      <c r="CD62" s="105"/>
      <c r="CE62" s="105"/>
      <c r="CF62" s="105"/>
      <c r="CG62" s="105"/>
      <c r="CH62" s="105"/>
      <c r="CI62" s="105"/>
      <c r="CJ62" s="105"/>
      <c r="CK62" s="105">
        <v>7411</v>
      </c>
      <c r="CL62" s="105"/>
      <c r="CM62" s="105"/>
      <c r="CN62" s="105"/>
      <c r="CO62" s="105"/>
      <c r="CP62" s="105"/>
      <c r="EY62" s="109"/>
      <c r="EZ62" s="109"/>
      <c r="FB62" s="6"/>
      <c r="FC62" s="6"/>
      <c r="FD62" s="6"/>
      <c r="FE62" s="6"/>
      <c r="FF62" s="6"/>
      <c r="FG62" s="6"/>
    </row>
    <row r="63" spans="1:163" s="104" customFormat="1" ht="12.9" customHeight="1" x14ac:dyDescent="0.2">
      <c r="A63" s="7"/>
      <c r="B63" s="8"/>
      <c r="C63" s="180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  <c r="AK63" s="181"/>
      <c r="AL63" s="181"/>
      <c r="AM63" s="182"/>
      <c r="AN63" s="7"/>
      <c r="CC63" s="105">
        <v>35</v>
      </c>
      <c r="CD63" s="105"/>
      <c r="CE63" s="105"/>
      <c r="CF63" s="105"/>
      <c r="CG63" s="105"/>
      <c r="CH63" s="105"/>
      <c r="CI63" s="105"/>
      <c r="CJ63" s="105"/>
      <c r="CK63" s="105">
        <v>8086</v>
      </c>
      <c r="CL63" s="105"/>
      <c r="CM63" s="105"/>
      <c r="CN63" s="105"/>
      <c r="CO63" s="105"/>
      <c r="CP63" s="105"/>
      <c r="EY63" s="109"/>
      <c r="EZ63" s="109"/>
      <c r="FB63" s="6"/>
      <c r="FC63" s="6"/>
      <c r="FD63" s="6"/>
      <c r="FE63" s="6"/>
      <c r="FF63" s="6"/>
      <c r="FG63" s="6"/>
    </row>
    <row r="64" spans="1:163" s="104" customFormat="1" ht="12.9" customHeight="1" x14ac:dyDescent="0.2">
      <c r="A64" s="7"/>
      <c r="B64" s="8"/>
      <c r="C64" s="180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2"/>
      <c r="AN64" s="7"/>
      <c r="CC64" s="105">
        <v>40</v>
      </c>
      <c r="CD64" s="105"/>
      <c r="CE64" s="105"/>
      <c r="CF64" s="105"/>
      <c r="CG64" s="105"/>
      <c r="CH64" s="105"/>
      <c r="CI64" s="105"/>
      <c r="CJ64" s="105"/>
      <c r="CK64" s="105">
        <v>8721</v>
      </c>
      <c r="CL64" s="105"/>
      <c r="CM64" s="105"/>
      <c r="CN64" s="105"/>
      <c r="CO64" s="105"/>
      <c r="CP64" s="105"/>
      <c r="EY64" s="109"/>
      <c r="EZ64" s="109"/>
      <c r="FB64" s="6"/>
      <c r="FC64" s="6"/>
      <c r="FD64" s="6"/>
      <c r="FE64" s="6"/>
      <c r="FF64" s="6"/>
      <c r="FG64" s="6"/>
    </row>
    <row r="65" spans="1:163" s="104" customFormat="1" ht="12.9" customHeight="1" x14ac:dyDescent="0.2">
      <c r="A65" s="7"/>
      <c r="B65" s="8"/>
      <c r="C65" s="180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  <c r="AK65" s="181"/>
      <c r="AL65" s="181"/>
      <c r="AM65" s="182"/>
      <c r="AN65" s="7"/>
      <c r="CC65" s="105">
        <v>45</v>
      </c>
      <c r="CD65" s="105"/>
      <c r="CE65" s="105"/>
      <c r="CF65" s="105"/>
      <c r="CG65" s="105"/>
      <c r="CH65" s="105"/>
      <c r="CI65" s="105"/>
      <c r="CJ65" s="105"/>
      <c r="CK65" s="105">
        <v>9322</v>
      </c>
      <c r="CL65" s="105"/>
      <c r="CM65" s="105"/>
      <c r="CN65" s="105"/>
      <c r="CO65" s="105"/>
      <c r="CP65" s="105"/>
      <c r="EY65" s="109"/>
      <c r="EZ65" s="109"/>
      <c r="FB65" s="6"/>
      <c r="FC65" s="6"/>
      <c r="FD65" s="6"/>
      <c r="FE65" s="6"/>
      <c r="FF65" s="6"/>
      <c r="FG65" s="6"/>
    </row>
    <row r="66" spans="1:163" s="104" customFormat="1" ht="12.9" customHeight="1" x14ac:dyDescent="0.2">
      <c r="A66" s="110"/>
      <c r="B66" s="8"/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  <c r="AK66" s="181"/>
      <c r="AL66" s="181"/>
      <c r="AM66" s="182"/>
      <c r="AN66" s="110"/>
      <c r="CC66" s="105">
        <v>50</v>
      </c>
      <c r="CD66" s="105"/>
      <c r="CE66" s="105"/>
      <c r="CF66" s="105"/>
      <c r="CG66" s="105"/>
      <c r="CH66" s="105"/>
      <c r="CI66" s="105"/>
      <c r="CJ66" s="105"/>
      <c r="CK66" s="105">
        <v>9895</v>
      </c>
      <c r="CL66" s="105"/>
      <c r="CM66" s="105"/>
      <c r="CN66" s="105"/>
      <c r="CO66" s="105"/>
      <c r="CP66" s="105"/>
      <c r="EY66" s="109"/>
      <c r="EZ66" s="109"/>
      <c r="FB66" s="6"/>
      <c r="FC66" s="6"/>
      <c r="FD66" s="6"/>
      <c r="FE66" s="6"/>
      <c r="FF66" s="6"/>
      <c r="FG66" s="6"/>
    </row>
    <row r="67" spans="1:163" s="104" customFormat="1" ht="12.9" customHeight="1" x14ac:dyDescent="0.2">
      <c r="A67" s="110"/>
      <c r="B67" s="8"/>
      <c r="C67" s="183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5"/>
      <c r="AN67" s="110"/>
      <c r="CC67" s="105">
        <v>60</v>
      </c>
      <c r="CD67" s="105"/>
      <c r="CE67" s="105"/>
      <c r="CF67" s="105"/>
      <c r="CG67" s="105"/>
      <c r="CH67" s="105"/>
      <c r="CI67" s="105"/>
      <c r="CJ67" s="105"/>
      <c r="CK67" s="105">
        <v>10971</v>
      </c>
      <c r="CL67" s="105"/>
      <c r="CM67" s="105"/>
      <c r="CN67" s="105"/>
      <c r="CO67" s="105"/>
      <c r="CP67" s="105"/>
      <c r="EY67" s="109"/>
      <c r="EZ67" s="109"/>
      <c r="FB67" s="6"/>
      <c r="FC67" s="6"/>
      <c r="FD67" s="6"/>
      <c r="FE67" s="6"/>
      <c r="FF67" s="6"/>
      <c r="FG67" s="6"/>
    </row>
    <row r="68" spans="1:163" s="104" customFormat="1" ht="12.9" customHeight="1" x14ac:dyDescent="0.2">
      <c r="A68" s="110"/>
      <c r="B68" s="8"/>
      <c r="C68" s="186"/>
      <c r="D68" s="187"/>
      <c r="E68" s="187"/>
      <c r="F68" s="188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90"/>
      <c r="V68" s="191"/>
      <c r="W68" s="192"/>
      <c r="X68" s="193"/>
      <c r="Y68" s="191"/>
      <c r="Z68" s="192"/>
      <c r="AA68" s="192"/>
      <c r="AB68" s="192"/>
      <c r="AC68" s="193"/>
      <c r="AD68" s="191"/>
      <c r="AE68" s="192"/>
      <c r="AF68" s="192"/>
      <c r="AG68" s="192"/>
      <c r="AH68" s="193"/>
      <c r="AI68" s="191"/>
      <c r="AJ68" s="192"/>
      <c r="AK68" s="192"/>
      <c r="AL68" s="192"/>
      <c r="AM68" s="194"/>
      <c r="AN68" s="110"/>
      <c r="CC68" s="105">
        <v>70</v>
      </c>
      <c r="CD68" s="105"/>
      <c r="CE68" s="105"/>
      <c r="CF68" s="105"/>
      <c r="CG68" s="105"/>
      <c r="CH68" s="105"/>
      <c r="CI68" s="105"/>
      <c r="CJ68" s="105"/>
      <c r="CK68" s="105">
        <v>11971</v>
      </c>
      <c r="CL68" s="105"/>
      <c r="CM68" s="105"/>
      <c r="CN68" s="105"/>
      <c r="CO68" s="105"/>
      <c r="CP68" s="105"/>
      <c r="EY68" s="109"/>
      <c r="EZ68" s="109"/>
      <c r="FB68" s="6"/>
      <c r="FC68" s="6"/>
      <c r="FD68" s="6"/>
      <c r="FE68" s="6"/>
      <c r="FF68" s="6"/>
      <c r="FG68" s="6"/>
    </row>
    <row r="69" spans="1:163" s="104" customFormat="1" ht="12.9" customHeight="1" x14ac:dyDescent="0.2">
      <c r="A69" s="110"/>
      <c r="B69" s="8"/>
      <c r="C69" s="186"/>
      <c r="D69" s="195"/>
      <c r="E69" s="195"/>
      <c r="F69" s="196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8"/>
      <c r="V69" s="199"/>
      <c r="W69" s="200"/>
      <c r="X69" s="201"/>
      <c r="Y69" s="199"/>
      <c r="Z69" s="200"/>
      <c r="AA69" s="200"/>
      <c r="AB69" s="200"/>
      <c r="AC69" s="201"/>
      <c r="AD69" s="199"/>
      <c r="AE69" s="200"/>
      <c r="AF69" s="200"/>
      <c r="AG69" s="200"/>
      <c r="AH69" s="201"/>
      <c r="AI69" s="199"/>
      <c r="AJ69" s="200"/>
      <c r="AK69" s="200"/>
      <c r="AL69" s="200"/>
      <c r="AM69" s="202"/>
      <c r="AN69" s="110"/>
      <c r="CC69" s="105">
        <v>80</v>
      </c>
      <c r="CD69" s="105"/>
      <c r="CE69" s="105"/>
      <c r="CF69" s="105"/>
      <c r="CG69" s="105"/>
      <c r="CH69" s="105"/>
      <c r="CI69" s="105"/>
      <c r="CJ69" s="105"/>
      <c r="CK69" s="105">
        <v>12911</v>
      </c>
      <c r="CL69" s="105"/>
      <c r="CM69" s="105"/>
      <c r="CN69" s="105"/>
      <c r="CO69" s="105"/>
      <c r="CP69" s="105"/>
      <c r="EY69" s="109"/>
      <c r="EZ69" s="109"/>
      <c r="FB69" s="6"/>
      <c r="FC69" s="6"/>
      <c r="FD69" s="6"/>
      <c r="FE69" s="6"/>
      <c r="FF69" s="6"/>
      <c r="FG69" s="6"/>
    </row>
    <row r="70" spans="1:163" s="104" customFormat="1" ht="12.9" customHeight="1" x14ac:dyDescent="0.2">
      <c r="A70" s="110"/>
      <c r="B70" s="8"/>
      <c r="C70" s="203"/>
      <c r="D70" s="204"/>
      <c r="E70" s="204"/>
      <c r="F70" s="205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7"/>
      <c r="V70" s="208"/>
      <c r="W70" s="209"/>
      <c r="X70" s="210"/>
      <c r="Y70" s="208"/>
      <c r="Z70" s="209"/>
      <c r="AA70" s="209"/>
      <c r="AB70" s="209"/>
      <c r="AC70" s="210"/>
      <c r="AD70" s="208"/>
      <c r="AE70" s="209"/>
      <c r="AF70" s="209"/>
      <c r="AG70" s="209"/>
      <c r="AH70" s="210"/>
      <c r="AI70" s="208"/>
      <c r="AJ70" s="209"/>
      <c r="AK70" s="209"/>
      <c r="AL70" s="209"/>
      <c r="AM70" s="211"/>
      <c r="AN70" s="110"/>
      <c r="CC70" s="105">
        <v>90</v>
      </c>
      <c r="CD70" s="105"/>
      <c r="CE70" s="105"/>
      <c r="CF70" s="105"/>
      <c r="CG70" s="105"/>
      <c r="CH70" s="105"/>
      <c r="CI70" s="105"/>
      <c r="CJ70" s="105"/>
      <c r="CK70" s="105">
        <v>13801</v>
      </c>
      <c r="CL70" s="105"/>
      <c r="CM70" s="105"/>
      <c r="CN70" s="105"/>
      <c r="CO70" s="105"/>
      <c r="CP70" s="105"/>
      <c r="EY70" s="109"/>
      <c r="EZ70" s="109"/>
      <c r="FB70" s="6"/>
      <c r="FC70" s="6"/>
      <c r="FD70" s="6"/>
      <c r="FE70" s="6"/>
      <c r="FF70" s="6"/>
      <c r="FG70" s="6"/>
    </row>
    <row r="71" spans="1:163" s="104" customFormat="1" ht="12.9" customHeight="1" x14ac:dyDescent="0.2">
      <c r="A71" s="110"/>
      <c r="B71" s="8"/>
      <c r="C71" s="212"/>
      <c r="D71" s="213"/>
      <c r="E71" s="214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6"/>
      <c r="V71" s="217"/>
      <c r="W71" s="218"/>
      <c r="X71" s="219"/>
      <c r="Y71" s="217"/>
      <c r="Z71" s="218"/>
      <c r="AA71" s="218"/>
      <c r="AB71" s="218"/>
      <c r="AC71" s="219"/>
      <c r="AD71" s="217"/>
      <c r="AE71" s="218"/>
      <c r="AF71" s="218"/>
      <c r="AG71" s="218"/>
      <c r="AH71" s="219"/>
      <c r="AI71" s="217"/>
      <c r="AJ71" s="218"/>
      <c r="AK71" s="218"/>
      <c r="AL71" s="218"/>
      <c r="AM71" s="220"/>
      <c r="AN71" s="110"/>
      <c r="CC71" s="105">
        <v>110</v>
      </c>
      <c r="CD71" s="105"/>
      <c r="CE71" s="105"/>
      <c r="CF71" s="105"/>
      <c r="CG71" s="105"/>
      <c r="CH71" s="105"/>
      <c r="CI71" s="105"/>
      <c r="CJ71" s="105"/>
      <c r="CK71" s="105">
        <v>15461</v>
      </c>
      <c r="CL71" s="105"/>
      <c r="CM71" s="105"/>
      <c r="CN71" s="105"/>
      <c r="CO71" s="105"/>
      <c r="CP71" s="105"/>
      <c r="EY71" s="109"/>
      <c r="EZ71" s="109"/>
      <c r="FB71" s="6"/>
      <c r="FC71" s="6"/>
      <c r="FD71" s="6"/>
      <c r="FE71" s="6"/>
      <c r="FF71" s="6"/>
      <c r="FG71" s="6"/>
    </row>
    <row r="72" spans="1:163" s="104" customFormat="1" ht="12.9" customHeight="1" x14ac:dyDescent="0.2">
      <c r="A72" s="110"/>
      <c r="B72" s="8"/>
      <c r="C72" s="221"/>
      <c r="D72" s="222"/>
      <c r="E72" s="223"/>
      <c r="F72" s="224"/>
      <c r="G72" s="224"/>
      <c r="H72" s="224"/>
      <c r="I72" s="224"/>
      <c r="J72" s="224"/>
      <c r="K72" s="224"/>
      <c r="L72" s="224"/>
      <c r="M72" s="224"/>
      <c r="N72" s="224"/>
      <c r="O72" s="224"/>
      <c r="P72" s="224"/>
      <c r="Q72" s="224"/>
      <c r="R72" s="224"/>
      <c r="S72" s="224"/>
      <c r="T72" s="224"/>
      <c r="U72" s="22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6"/>
      <c r="AL72" s="226"/>
      <c r="AM72" s="227"/>
      <c r="AN72" s="110"/>
      <c r="CC72" s="105">
        <v>130</v>
      </c>
      <c r="CD72" s="105"/>
      <c r="CE72" s="105"/>
      <c r="CF72" s="105"/>
      <c r="CG72" s="105"/>
      <c r="CH72" s="105"/>
      <c r="CI72" s="105"/>
      <c r="CJ72" s="105"/>
      <c r="CK72" s="105">
        <v>15751</v>
      </c>
      <c r="CL72" s="105"/>
      <c r="CM72" s="105"/>
      <c r="CN72" s="105"/>
      <c r="CO72" s="105"/>
      <c r="CP72" s="105"/>
      <c r="EY72" s="109"/>
      <c r="EZ72" s="109"/>
      <c r="FB72" s="6"/>
      <c r="FC72" s="6"/>
      <c r="FD72" s="6"/>
      <c r="FE72" s="6"/>
      <c r="FF72" s="6"/>
      <c r="FG72" s="6"/>
    </row>
    <row r="73" spans="1:163" s="104" customFormat="1" ht="12.9" customHeight="1" thickBot="1" x14ac:dyDescent="0.25">
      <c r="A73" s="110"/>
      <c r="B73" s="8"/>
      <c r="C73" s="228"/>
      <c r="D73" s="229"/>
      <c r="E73" s="230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2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4"/>
      <c r="AL73" s="235"/>
      <c r="AM73" s="236"/>
      <c r="AN73" s="110"/>
      <c r="CC73" s="105">
        <v>150</v>
      </c>
      <c r="CD73" s="105"/>
      <c r="CE73" s="105"/>
      <c r="CF73" s="105"/>
      <c r="CG73" s="105"/>
      <c r="CH73" s="105"/>
      <c r="CI73" s="105"/>
      <c r="CJ73" s="105"/>
      <c r="CK73" s="105">
        <v>16532</v>
      </c>
      <c r="CL73" s="105"/>
      <c r="CM73" s="105"/>
      <c r="CN73" s="105"/>
      <c r="CO73" s="105"/>
      <c r="CP73" s="105"/>
      <c r="EY73" s="109"/>
      <c r="EZ73" s="109"/>
      <c r="FB73" s="6"/>
      <c r="FC73" s="6"/>
      <c r="FD73" s="6"/>
      <c r="FE73" s="6"/>
      <c r="FF73" s="6"/>
      <c r="FG73" s="6"/>
    </row>
    <row r="74" spans="1:163" s="104" customFormat="1" ht="12.9" customHeight="1" x14ac:dyDescent="0.2">
      <c r="A74" s="110"/>
      <c r="B74" s="237"/>
      <c r="C74" s="238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239"/>
      <c r="AN74" s="110"/>
      <c r="CC74" s="105">
        <v>175</v>
      </c>
      <c r="CD74" s="105"/>
      <c r="CE74" s="105"/>
      <c r="CF74" s="105"/>
      <c r="CG74" s="105"/>
      <c r="CH74" s="105"/>
      <c r="CI74" s="105"/>
      <c r="CJ74" s="105"/>
      <c r="CK74" s="105">
        <v>17416</v>
      </c>
      <c r="CL74" s="105"/>
      <c r="CM74" s="105"/>
      <c r="CN74" s="105"/>
      <c r="CO74" s="105"/>
      <c r="CP74" s="105"/>
      <c r="EY74" s="109"/>
      <c r="EZ74" s="109"/>
      <c r="FB74" s="6"/>
      <c r="FC74" s="6"/>
      <c r="FD74" s="6"/>
      <c r="FE74" s="6"/>
      <c r="FF74" s="6"/>
      <c r="FG74" s="6"/>
    </row>
    <row r="75" spans="1:163" s="104" customFormat="1" ht="12.9" customHeight="1" x14ac:dyDescent="0.2">
      <c r="CC75" s="105">
        <v>200</v>
      </c>
      <c r="CD75" s="105"/>
      <c r="CE75" s="105"/>
      <c r="CF75" s="105"/>
      <c r="CG75" s="105"/>
      <c r="CH75" s="105"/>
      <c r="CI75" s="105"/>
      <c r="CJ75" s="105"/>
      <c r="CK75" s="105">
        <v>18220</v>
      </c>
      <c r="CL75" s="105"/>
      <c r="CM75" s="105"/>
      <c r="CN75" s="105"/>
      <c r="CO75" s="105"/>
      <c r="CP75" s="105"/>
      <c r="EY75" s="109"/>
      <c r="EZ75" s="109"/>
      <c r="FB75" s="6"/>
      <c r="FC75" s="6"/>
      <c r="FD75" s="6"/>
      <c r="FE75" s="6"/>
      <c r="FF75" s="6"/>
      <c r="FG75" s="6"/>
    </row>
    <row r="76" spans="1:163" s="104" customFormat="1" ht="12.9" customHeight="1" x14ac:dyDescent="0.2">
      <c r="AM76" s="240"/>
      <c r="CC76" s="105">
        <v>230</v>
      </c>
      <c r="CD76" s="105"/>
      <c r="CE76" s="105"/>
      <c r="CF76" s="105"/>
      <c r="CG76" s="105"/>
      <c r="CH76" s="105"/>
      <c r="CI76" s="105"/>
      <c r="CJ76" s="105"/>
      <c r="CK76" s="105">
        <v>19102</v>
      </c>
      <c r="CL76" s="105"/>
      <c r="CM76" s="105"/>
      <c r="CN76" s="105"/>
      <c r="CO76" s="105"/>
      <c r="CP76" s="105"/>
      <c r="EY76" s="109"/>
      <c r="EZ76" s="109"/>
      <c r="FB76" s="6"/>
      <c r="FC76" s="6"/>
      <c r="FD76" s="6"/>
      <c r="FE76" s="6"/>
      <c r="FF76" s="6"/>
      <c r="FG76" s="6"/>
    </row>
    <row r="77" spans="1:163" s="104" customFormat="1" ht="12.9" customHeight="1" x14ac:dyDescent="0.2">
      <c r="CC77" s="105">
        <v>260</v>
      </c>
      <c r="CD77" s="105"/>
      <c r="CE77" s="105"/>
      <c r="CF77" s="105"/>
      <c r="CG77" s="105"/>
      <c r="CH77" s="105"/>
      <c r="CI77" s="105"/>
      <c r="CJ77" s="105"/>
      <c r="CK77" s="105">
        <v>19910</v>
      </c>
      <c r="CL77" s="105"/>
      <c r="CM77" s="105"/>
      <c r="CN77" s="105"/>
      <c r="CO77" s="105"/>
      <c r="CP77" s="105"/>
      <c r="EY77" s="109"/>
      <c r="EZ77" s="109"/>
      <c r="FB77" s="6"/>
      <c r="FC77" s="6"/>
      <c r="FD77" s="6"/>
      <c r="FE77" s="6"/>
      <c r="FF77" s="6"/>
      <c r="FG77" s="6"/>
    </row>
    <row r="78" spans="1:163" s="104" customFormat="1" ht="12.9" customHeight="1" x14ac:dyDescent="0.2">
      <c r="AM78" s="241"/>
      <c r="CC78" s="242" t="s">
        <v>164</v>
      </c>
      <c r="CD78" s="242"/>
      <c r="CE78" s="242"/>
      <c r="CF78" s="242"/>
      <c r="CG78" s="242"/>
      <c r="CH78" s="242"/>
      <c r="CI78" s="242"/>
      <c r="CJ78" s="242"/>
      <c r="CK78" s="105">
        <v>19910</v>
      </c>
      <c r="CL78" s="105"/>
      <c r="CM78" s="105"/>
      <c r="CN78" s="105"/>
      <c r="CO78" s="105"/>
      <c r="CP78" s="105"/>
      <c r="EY78" s="109"/>
      <c r="EZ78" s="109"/>
      <c r="FB78" s="6"/>
      <c r="FC78" s="6"/>
      <c r="FD78" s="6"/>
      <c r="FE78" s="6"/>
      <c r="FF78" s="6"/>
      <c r="FG78" s="6"/>
    </row>
    <row r="79" spans="1:163" s="104" customFormat="1" ht="12.9" customHeight="1" x14ac:dyDescent="0.2">
      <c r="CC79" s="242" t="s">
        <v>165</v>
      </c>
      <c r="CD79" s="242"/>
      <c r="CE79" s="242"/>
      <c r="CF79" s="242"/>
      <c r="CG79" s="242"/>
      <c r="CH79" s="242"/>
      <c r="CI79" s="242"/>
      <c r="CJ79" s="242"/>
      <c r="CK79" s="243">
        <f>208.2*U52*(Q12^0.82)</f>
        <v>44263.783930618571</v>
      </c>
      <c r="CL79" s="243"/>
      <c r="CM79" s="243"/>
      <c r="CN79" s="243"/>
      <c r="CO79" s="243"/>
      <c r="CP79" s="243"/>
      <c r="EY79" s="109"/>
      <c r="EZ79" s="109"/>
      <c r="FB79" s="6"/>
      <c r="FC79" s="6"/>
      <c r="FD79" s="6"/>
      <c r="FE79" s="6"/>
      <c r="FF79" s="6"/>
      <c r="FG79" s="6"/>
    </row>
    <row r="80" spans="1:163" s="104" customFormat="1" ht="12.9" customHeight="1" x14ac:dyDescent="0.2">
      <c r="EY80" s="109"/>
      <c r="EZ80" s="109"/>
      <c r="FB80" s="6"/>
      <c r="FC80" s="6"/>
      <c r="FD80" s="6"/>
      <c r="FE80" s="6"/>
      <c r="FF80" s="6"/>
      <c r="FG80" s="6"/>
    </row>
    <row r="81" spans="1:163" s="104" customFormat="1" ht="12.9" customHeight="1" x14ac:dyDescent="0.2">
      <c r="BY81" s="222" t="s">
        <v>166</v>
      </c>
      <c r="BZ81" s="222"/>
      <c r="CA81" s="222"/>
      <c r="CB81" s="222"/>
      <c r="CC81" s="222"/>
      <c r="CD81" s="222"/>
      <c r="CE81" s="222"/>
      <c r="CF81" s="222"/>
      <c r="CG81" s="222"/>
      <c r="CH81" s="222"/>
      <c r="CI81" s="222"/>
      <c r="CJ81" s="222"/>
      <c r="CK81" s="222">
        <f>IF(Q14&lt;=103.4,IF(Q12&lt;2,608,IF(Q12&lt;260,VLOOKUP(Q12,CC52:CP77,9,TRUE),IF(Q14&lt;=7,CK78,CK79))),"Design
                    Pressure over 103.4")</f>
        <v>44263.783930618571</v>
      </c>
      <c r="CL81" s="222"/>
      <c r="CM81" s="222"/>
      <c r="CN81" s="222"/>
      <c r="CO81" s="222"/>
      <c r="CP81" s="222"/>
      <c r="EY81" s="109"/>
      <c r="EZ81" s="109"/>
      <c r="FB81" s="6"/>
      <c r="FC81" s="6"/>
      <c r="FD81" s="6"/>
      <c r="FE81" s="6"/>
      <c r="FF81" s="6"/>
      <c r="FG81" s="6"/>
    </row>
    <row r="82" spans="1:163" s="104" customFormat="1" ht="12.9" customHeight="1" x14ac:dyDescent="0.2">
      <c r="CK82" s="222"/>
      <c r="CL82" s="222"/>
      <c r="CM82" s="222"/>
      <c r="CN82" s="222"/>
      <c r="CO82" s="222"/>
      <c r="CP82" s="222"/>
      <c r="EY82" s="109"/>
      <c r="EZ82" s="109"/>
      <c r="FB82" s="6"/>
      <c r="FC82" s="6"/>
      <c r="FD82" s="6"/>
      <c r="FE82" s="6"/>
      <c r="FF82" s="6"/>
      <c r="FG82" s="6"/>
    </row>
    <row r="83" spans="1:163" s="104" customFormat="1" ht="12.9" customHeight="1" x14ac:dyDescent="0.2">
      <c r="EY83" s="109"/>
      <c r="EZ83" s="109"/>
      <c r="FB83" s="6"/>
      <c r="FC83" s="6"/>
      <c r="FD83" s="6"/>
      <c r="FE83" s="6"/>
      <c r="FF83" s="6"/>
      <c r="FG83" s="6"/>
    </row>
    <row r="84" spans="1:163" s="104" customFormat="1" ht="12.9" customHeight="1" x14ac:dyDescent="0.2">
      <c r="CC84" s="104" t="s">
        <v>167</v>
      </c>
      <c r="CK84" s="104" t="s">
        <v>168</v>
      </c>
      <c r="CQ84" s="104" t="s">
        <v>169</v>
      </c>
      <c r="CV84" s="104" t="s">
        <v>7</v>
      </c>
      <c r="EY84" s="109"/>
      <c r="EZ84" s="109"/>
      <c r="FB84" s="6"/>
      <c r="FC84" s="6"/>
      <c r="FD84" s="6"/>
      <c r="FE84" s="6"/>
      <c r="FF84" s="6"/>
      <c r="FG84" s="6"/>
    </row>
    <row r="85" spans="1:163" s="104" customFormat="1" ht="12.9" customHeight="1" x14ac:dyDescent="0.2">
      <c r="CK85" s="104" t="s">
        <v>170</v>
      </c>
      <c r="CQ85" s="104" t="s">
        <v>171</v>
      </c>
      <c r="EY85" s="109"/>
      <c r="EZ85" s="109"/>
      <c r="FB85" s="6"/>
      <c r="FC85" s="6"/>
      <c r="FD85" s="6"/>
      <c r="FE85" s="6"/>
      <c r="FF85" s="6"/>
      <c r="FG85" s="6"/>
    </row>
    <row r="86" spans="1:163" s="104" customFormat="1" ht="12.9" customHeight="1" x14ac:dyDescent="0.2">
      <c r="CC86" s="105" t="s">
        <v>172</v>
      </c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>
        <v>0</v>
      </c>
      <c r="CR86" s="105"/>
      <c r="CS86" s="105"/>
      <c r="CT86" s="105"/>
      <c r="CU86" s="105"/>
      <c r="CV86" s="105">
        <v>1</v>
      </c>
      <c r="CW86" s="105"/>
      <c r="CX86" s="105"/>
      <c r="CY86" s="105"/>
      <c r="EY86" s="109"/>
      <c r="EZ86" s="109"/>
      <c r="FB86" s="6"/>
      <c r="FC86" s="6"/>
      <c r="FD86" s="6"/>
      <c r="FE86" s="6"/>
      <c r="FF86" s="6"/>
      <c r="FG86" s="6"/>
    </row>
    <row r="87" spans="1:163" s="104" customFormat="1" ht="12.9" customHeight="1" x14ac:dyDescent="0.2">
      <c r="CC87" s="222" t="s">
        <v>173</v>
      </c>
      <c r="CD87" s="222"/>
      <c r="CE87" s="222"/>
      <c r="CF87" s="222"/>
      <c r="CG87" s="222"/>
      <c r="CH87" s="222"/>
      <c r="CI87" s="222"/>
      <c r="CJ87" s="222"/>
      <c r="CK87" s="105">
        <v>22.7</v>
      </c>
      <c r="CL87" s="105"/>
      <c r="CM87" s="105"/>
      <c r="CN87" s="105"/>
      <c r="CO87" s="105"/>
      <c r="CP87" s="105"/>
      <c r="CQ87" s="105">
        <v>2.5</v>
      </c>
      <c r="CR87" s="105"/>
      <c r="CS87" s="105"/>
      <c r="CT87" s="105"/>
      <c r="CU87" s="105"/>
      <c r="CV87" s="105">
        <v>0.3</v>
      </c>
      <c r="CW87" s="105"/>
      <c r="CX87" s="105"/>
      <c r="CY87" s="105"/>
      <c r="EY87" s="109"/>
      <c r="EZ87" s="109"/>
      <c r="FB87" s="6"/>
      <c r="FC87" s="6"/>
      <c r="FD87" s="6"/>
      <c r="FE87" s="6"/>
      <c r="FF87" s="6"/>
      <c r="FG87" s="6"/>
    </row>
    <row r="88" spans="1:163" s="104" customFormat="1" ht="12.9" customHeight="1" x14ac:dyDescent="0.2">
      <c r="CC88" s="222"/>
      <c r="CD88" s="222"/>
      <c r="CE88" s="222"/>
      <c r="CF88" s="222"/>
      <c r="CG88" s="222"/>
      <c r="CH88" s="222"/>
      <c r="CI88" s="222"/>
      <c r="CJ88" s="222"/>
      <c r="CK88" s="105">
        <v>11.4</v>
      </c>
      <c r="CL88" s="105"/>
      <c r="CM88" s="105"/>
      <c r="CN88" s="105"/>
      <c r="CO88" s="105"/>
      <c r="CP88" s="105"/>
      <c r="CQ88" s="105">
        <v>5.0999999999999996</v>
      </c>
      <c r="CR88" s="105"/>
      <c r="CS88" s="105"/>
      <c r="CT88" s="105"/>
      <c r="CU88" s="105"/>
      <c r="CV88" s="105">
        <v>0.15</v>
      </c>
      <c r="CW88" s="105"/>
      <c r="CX88" s="105"/>
      <c r="CY88" s="105"/>
      <c r="EY88" s="109"/>
      <c r="EZ88" s="109"/>
      <c r="FB88" s="6"/>
      <c r="FC88" s="6"/>
      <c r="FD88" s="6"/>
      <c r="FE88" s="6"/>
      <c r="FF88" s="6"/>
      <c r="FG88" s="6"/>
    </row>
    <row r="89" spans="1:163" ht="12.9" customHeight="1" x14ac:dyDescent="0.3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CC89" s="222"/>
      <c r="CD89" s="222"/>
      <c r="CE89" s="222"/>
      <c r="CF89" s="222"/>
      <c r="CG89" s="222"/>
      <c r="CH89" s="222"/>
      <c r="CI89" s="222"/>
      <c r="CJ89" s="222"/>
      <c r="CK89" s="105">
        <v>5.7</v>
      </c>
      <c r="CL89" s="105"/>
      <c r="CM89" s="105"/>
      <c r="CN89" s="105"/>
      <c r="CO89" s="105"/>
      <c r="CP89" s="105"/>
      <c r="CQ89" s="105">
        <v>10.199999999999999</v>
      </c>
      <c r="CR89" s="105"/>
      <c r="CS89" s="105"/>
      <c r="CT89" s="105"/>
      <c r="CU89" s="105"/>
      <c r="CV89" s="105">
        <v>7.4999999999999997E-2</v>
      </c>
      <c r="CW89" s="105"/>
      <c r="CX89" s="105"/>
      <c r="CY89" s="105"/>
    </row>
    <row r="90" spans="1:163" ht="12.9" customHeight="1" x14ac:dyDescent="0.3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CC90" s="222"/>
      <c r="CD90" s="222"/>
      <c r="CE90" s="222"/>
      <c r="CF90" s="222"/>
      <c r="CG90" s="222"/>
      <c r="CH90" s="222"/>
      <c r="CI90" s="222"/>
      <c r="CJ90" s="222"/>
      <c r="CK90" s="105">
        <v>3.8</v>
      </c>
      <c r="CL90" s="105"/>
      <c r="CM90" s="105"/>
      <c r="CN90" s="105"/>
      <c r="CO90" s="105"/>
      <c r="CP90" s="105"/>
      <c r="CQ90" s="105">
        <v>15.2</v>
      </c>
      <c r="CR90" s="105"/>
      <c r="CS90" s="105"/>
      <c r="CT90" s="105"/>
      <c r="CU90" s="105"/>
      <c r="CV90" s="105">
        <v>0.05</v>
      </c>
      <c r="CW90" s="105"/>
      <c r="CX90" s="105"/>
      <c r="CY90" s="105"/>
    </row>
    <row r="91" spans="1:163" ht="12.9" customHeight="1" x14ac:dyDescent="0.3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CC91" s="222"/>
      <c r="CD91" s="222"/>
      <c r="CE91" s="222"/>
      <c r="CF91" s="222"/>
      <c r="CG91" s="222"/>
      <c r="CH91" s="222"/>
      <c r="CI91" s="222"/>
      <c r="CJ91" s="222"/>
      <c r="CK91" s="105">
        <v>2.8</v>
      </c>
      <c r="CL91" s="105"/>
      <c r="CM91" s="105"/>
      <c r="CN91" s="105"/>
      <c r="CO91" s="105"/>
      <c r="CP91" s="105"/>
      <c r="CQ91" s="105">
        <v>20.3</v>
      </c>
      <c r="CR91" s="105"/>
      <c r="CS91" s="105"/>
      <c r="CT91" s="105"/>
      <c r="CU91" s="105"/>
      <c r="CV91" s="105">
        <v>3.7499999999999999E-2</v>
      </c>
      <c r="CW91" s="105"/>
      <c r="CX91" s="105"/>
      <c r="CY91" s="105"/>
    </row>
    <row r="92" spans="1:163" ht="12.9" customHeight="1" x14ac:dyDescent="0.3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CC92" s="222"/>
      <c r="CD92" s="222"/>
      <c r="CE92" s="222"/>
      <c r="CF92" s="222"/>
      <c r="CG92" s="222"/>
      <c r="CH92" s="222"/>
      <c r="CI92" s="222"/>
      <c r="CJ92" s="222"/>
      <c r="CK92" s="105">
        <v>2.2999999999999998</v>
      </c>
      <c r="CL92" s="105"/>
      <c r="CM92" s="105"/>
      <c r="CN92" s="105"/>
      <c r="CO92" s="105"/>
      <c r="CP92" s="105"/>
      <c r="CQ92" s="105">
        <v>25.4</v>
      </c>
      <c r="CR92" s="105"/>
      <c r="CS92" s="105"/>
      <c r="CT92" s="105"/>
      <c r="CU92" s="105"/>
      <c r="CV92" s="105">
        <v>0.03</v>
      </c>
      <c r="CW92" s="105"/>
      <c r="CX92" s="105"/>
      <c r="CY92" s="105"/>
    </row>
    <row r="93" spans="1:163" ht="12.9" customHeight="1" x14ac:dyDescent="0.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CC93" s="222"/>
      <c r="CD93" s="222"/>
      <c r="CE93" s="222"/>
      <c r="CF93" s="222"/>
      <c r="CG93" s="222"/>
      <c r="CH93" s="222"/>
      <c r="CI93" s="222"/>
      <c r="CJ93" s="222"/>
      <c r="CK93" s="105">
        <v>1.9</v>
      </c>
      <c r="CL93" s="105"/>
      <c r="CM93" s="105"/>
      <c r="CN93" s="105"/>
      <c r="CO93" s="105"/>
      <c r="CP93" s="105"/>
      <c r="CQ93" s="105">
        <v>30.5</v>
      </c>
      <c r="CR93" s="105"/>
      <c r="CS93" s="105"/>
      <c r="CT93" s="105"/>
      <c r="CU93" s="105"/>
      <c r="CV93" s="105">
        <v>2.5000000000000001E-2</v>
      </c>
      <c r="CW93" s="105"/>
      <c r="CX93" s="105"/>
      <c r="CY93" s="105"/>
    </row>
    <row r="94" spans="1:163" ht="12.9" customHeight="1" x14ac:dyDescent="0.3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104"/>
    </row>
    <row r="95" spans="1:163" ht="12.9" customHeight="1" x14ac:dyDescent="0.3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  <c r="CV95" s="104"/>
      <c r="CW95" s="104"/>
    </row>
    <row r="96" spans="1:163" ht="12.9" customHeight="1" x14ac:dyDescent="0.3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  <c r="CV96" s="104"/>
      <c r="CW96" s="104"/>
    </row>
    <row r="97" spans="1:180" ht="12.9" customHeight="1" x14ac:dyDescent="0.3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BB97" s="204"/>
      <c r="BC97" s="204"/>
      <c r="BD97" s="204"/>
      <c r="BE97" s="204"/>
      <c r="BF97" s="204"/>
      <c r="BG97" s="204"/>
      <c r="BH97" s="204"/>
      <c r="BI97" s="204"/>
      <c r="BJ97" s="204"/>
      <c r="BK97" s="204"/>
      <c r="BL97" s="204"/>
      <c r="BM97" s="204"/>
      <c r="BN97" s="204"/>
      <c r="BO97" s="204"/>
      <c r="BP97" s="204"/>
      <c r="BQ97" s="204"/>
      <c r="BR97" s="2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</row>
    <row r="98" spans="1:180" ht="12.9" customHeight="1" x14ac:dyDescent="0.3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04"/>
      <c r="BB98" s="204"/>
      <c r="BC98" s="204"/>
      <c r="BD98" s="204"/>
      <c r="BE98" s="204"/>
      <c r="BF98" s="204"/>
      <c r="BG98" s="204"/>
      <c r="BH98" s="204"/>
      <c r="BI98" s="204"/>
      <c r="BJ98" s="204"/>
      <c r="BK98" s="204"/>
      <c r="BL98" s="204"/>
      <c r="BM98" s="204"/>
      <c r="BN98" s="204"/>
      <c r="BO98" s="204"/>
      <c r="BP98" s="204"/>
      <c r="BQ98" s="204"/>
      <c r="BR98" s="204"/>
      <c r="BS98" s="24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245"/>
      <c r="CV98" s="246"/>
      <c r="CW98" s="104"/>
      <c r="EF98" s="247"/>
    </row>
    <row r="99" spans="1:180" ht="12.9" customHeight="1" x14ac:dyDescent="0.3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BB99" s="204"/>
      <c r="BC99" s="204"/>
      <c r="BD99" s="204"/>
      <c r="BE99" s="204" t="s">
        <v>174</v>
      </c>
      <c r="BF99" s="204"/>
      <c r="BG99" s="204"/>
      <c r="BH99" s="204"/>
      <c r="BI99" s="204"/>
      <c r="BJ99" s="204"/>
      <c r="BK99" s="204"/>
      <c r="BL99" s="204"/>
      <c r="BM99" s="204"/>
      <c r="BN99" s="204"/>
      <c r="BO99" s="204"/>
      <c r="BP99" s="204"/>
      <c r="BQ99" s="204"/>
      <c r="BR99" s="204"/>
      <c r="BS99" s="244"/>
      <c r="CU99" s="247"/>
      <c r="CV99" s="244"/>
      <c r="CW99" s="104"/>
      <c r="EF99" s="247"/>
    </row>
    <row r="100" spans="1:180" ht="12.9" customHeight="1" x14ac:dyDescent="0.3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BB100" s="204"/>
      <c r="BC100" s="204"/>
      <c r="BD100" s="204"/>
      <c r="BE100" s="204"/>
      <c r="BF100" s="204"/>
      <c r="BG100" s="204"/>
      <c r="BH100" s="204"/>
      <c r="BI100" s="204"/>
      <c r="BJ100" s="204"/>
      <c r="BK100" s="204"/>
      <c r="BL100" s="204"/>
      <c r="BM100" s="204"/>
      <c r="BN100" s="204"/>
      <c r="BO100" s="204"/>
      <c r="BP100" s="204"/>
      <c r="BQ100" s="204"/>
      <c r="BR100" s="204"/>
      <c r="BS100" s="244"/>
      <c r="BV100" s="248" t="s">
        <v>175</v>
      </c>
      <c r="BW100" s="248" t="s">
        <v>176</v>
      </c>
      <c r="BX100" s="204"/>
      <c r="BY100" s="204"/>
      <c r="BZ100" s="204"/>
      <c r="CA100" s="204"/>
      <c r="CB100" s="204"/>
      <c r="CC100" s="204"/>
      <c r="CD100" s="204"/>
      <c r="CE100" s="204"/>
      <c r="CF100" s="204"/>
      <c r="CG100" s="204"/>
      <c r="CH100" s="204"/>
      <c r="CI100" s="204"/>
      <c r="CJ100" s="204"/>
      <c r="CK100" s="204"/>
      <c r="CL100" s="204"/>
      <c r="CO100" s="204"/>
      <c r="CP100" s="204"/>
      <c r="CQ100" s="204"/>
      <c r="CR100" s="204"/>
      <c r="CS100" s="204"/>
      <c r="CT100" s="204"/>
      <c r="CU100" s="249"/>
      <c r="CV100" s="250"/>
      <c r="CW100" s="204"/>
      <c r="CX100" s="204"/>
      <c r="CY100" s="248" t="s">
        <v>177</v>
      </c>
      <c r="CZ100" s="248" t="s">
        <v>178</v>
      </c>
      <c r="DA100" s="204"/>
      <c r="EF100" s="247"/>
      <c r="EJ100" s="251" t="s">
        <v>179</v>
      </c>
      <c r="EK100" s="251" t="s">
        <v>180</v>
      </c>
    </row>
    <row r="101" spans="1:180" ht="12.9" customHeight="1" x14ac:dyDescent="0.3"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BB101" s="204"/>
      <c r="BC101" s="204"/>
      <c r="BD101" s="204"/>
      <c r="BE101" s="204"/>
      <c r="BF101" s="204" t="s">
        <v>181</v>
      </c>
      <c r="BG101" s="204"/>
      <c r="BH101" s="204"/>
      <c r="BI101" s="204"/>
      <c r="BJ101" s="204"/>
      <c r="BK101" s="204"/>
      <c r="BL101" s="204"/>
      <c r="BM101" s="204"/>
      <c r="BN101" s="204"/>
      <c r="BO101" s="204"/>
      <c r="BP101" s="204"/>
      <c r="BQ101" s="204"/>
      <c r="BR101" s="204"/>
      <c r="BS101" s="244"/>
      <c r="BW101" s="204"/>
      <c r="BX101" s="204"/>
      <c r="BY101" s="204"/>
      <c r="BZ101" s="204"/>
      <c r="CA101" s="204"/>
      <c r="CB101" s="204"/>
      <c r="CC101" s="204"/>
      <c r="CD101" s="204"/>
      <c r="CE101" s="204"/>
      <c r="CF101" s="204"/>
      <c r="CG101" s="204"/>
      <c r="CH101" s="204"/>
      <c r="CI101" s="204"/>
      <c r="CJ101" s="204"/>
      <c r="CK101" s="204"/>
      <c r="CL101" s="204"/>
      <c r="CO101" s="204"/>
      <c r="CP101" s="204"/>
      <c r="CQ101" s="204"/>
      <c r="CR101" s="204"/>
      <c r="CS101" s="204"/>
      <c r="CT101" s="204"/>
      <c r="CU101" s="249"/>
      <c r="CV101" s="250"/>
      <c r="CW101" s="204"/>
      <c r="CX101" s="204"/>
      <c r="CY101" s="204"/>
      <c r="CZ101" s="204"/>
      <c r="DA101" s="204"/>
      <c r="DD101" s="204"/>
      <c r="DE101" s="204"/>
      <c r="EF101" s="247"/>
    </row>
    <row r="102" spans="1:180" ht="12.9" customHeight="1" x14ac:dyDescent="0.3"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BB102" s="204"/>
      <c r="BC102" s="204"/>
      <c r="BD102" s="204"/>
      <c r="BE102" s="204"/>
      <c r="BF102" s="204" t="s">
        <v>64</v>
      </c>
      <c r="BG102" s="252">
        <f>EXP(13.8193-(2696.04/(224.317+BN102)))</f>
        <v>30.649123476339497</v>
      </c>
      <c r="BH102" s="252"/>
      <c r="BI102" s="252"/>
      <c r="BJ102" s="252"/>
      <c r="BK102" s="204" t="s">
        <v>182</v>
      </c>
      <c r="BL102" s="204"/>
      <c r="BM102" s="204"/>
      <c r="BN102" s="253">
        <f>AH8</f>
        <v>35</v>
      </c>
      <c r="BO102" s="253"/>
      <c r="BP102" s="204" t="s">
        <v>183</v>
      </c>
      <c r="BQ102" s="204"/>
      <c r="BR102" s="204"/>
      <c r="BS102" s="244"/>
      <c r="BW102" s="204" t="s">
        <v>184</v>
      </c>
      <c r="BX102" s="204"/>
      <c r="BY102" s="204"/>
      <c r="BZ102" s="204"/>
      <c r="CA102" s="204"/>
      <c r="CB102" s="204"/>
      <c r="CC102" s="204"/>
      <c r="CD102" s="204"/>
      <c r="CE102" s="204"/>
      <c r="CF102" s="204"/>
      <c r="CG102" s="204"/>
      <c r="CH102" s="204"/>
      <c r="CI102" s="204"/>
      <c r="CJ102" s="204"/>
      <c r="CK102" s="204"/>
      <c r="CL102" s="204"/>
      <c r="CO102" s="204"/>
      <c r="CP102" s="204"/>
      <c r="CQ102" s="204"/>
      <c r="CR102" s="204"/>
      <c r="CS102" s="204"/>
      <c r="CT102" s="204"/>
      <c r="CU102" s="249"/>
      <c r="CV102" s="250"/>
      <c r="CW102" s="204"/>
      <c r="CX102" s="204"/>
      <c r="CY102" s="204"/>
      <c r="CZ102" s="204" t="s">
        <v>184</v>
      </c>
      <c r="DA102" s="204"/>
      <c r="DD102" s="204"/>
      <c r="EF102" s="247"/>
    </row>
    <row r="103" spans="1:180" ht="12.9" customHeight="1" x14ac:dyDescent="0.3"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BB103" s="204"/>
      <c r="BC103" s="204"/>
      <c r="BD103" s="204"/>
      <c r="BE103" s="204"/>
      <c r="BF103" s="204"/>
      <c r="BG103" s="254"/>
      <c r="BH103" s="254"/>
      <c r="BI103" s="254"/>
      <c r="BJ103" s="254"/>
      <c r="BK103" s="204"/>
      <c r="BL103" s="204"/>
      <c r="BM103" s="204"/>
      <c r="BN103" s="204"/>
      <c r="BO103" s="204"/>
      <c r="BP103" s="204"/>
      <c r="BQ103" s="204"/>
      <c r="BR103" s="204"/>
      <c r="BS103" s="244"/>
      <c r="BW103" s="204"/>
      <c r="BX103" s="204" t="s">
        <v>185</v>
      </c>
      <c r="BY103" s="204"/>
      <c r="BZ103" s="204"/>
      <c r="CA103" s="204"/>
      <c r="CB103" s="204"/>
      <c r="CC103" s="204"/>
      <c r="CD103" s="204"/>
      <c r="CE103" s="204"/>
      <c r="CF103" s="204"/>
      <c r="CG103" s="204"/>
      <c r="CH103" s="204"/>
      <c r="CI103" s="204"/>
      <c r="CJ103" s="204"/>
      <c r="CK103" s="204"/>
      <c r="CL103" s="204"/>
      <c r="CM103" s="204"/>
      <c r="CN103" s="204"/>
      <c r="CO103" s="204"/>
      <c r="CP103" s="204"/>
      <c r="CQ103" s="204"/>
      <c r="CR103" s="204"/>
      <c r="CS103" s="204"/>
      <c r="CT103" s="204"/>
      <c r="CU103" s="249"/>
      <c r="CV103" s="250"/>
      <c r="CW103" s="204"/>
      <c r="CX103" s="204"/>
      <c r="CY103" s="204"/>
      <c r="CZ103" s="204"/>
      <c r="DA103" s="204" t="s">
        <v>178</v>
      </c>
      <c r="DF103" t="s">
        <v>64</v>
      </c>
      <c r="DG103" s="253" t="str">
        <f>IF(AH10="","Check F.P or
                    B.P",IF(AH10=AW11,P35*1.01,IF(OR(AH10=AW12,AH10=AW13),P35*2.02,"error")))</f>
        <v>Check F.P or
                    B.P</v>
      </c>
      <c r="DH103" s="253"/>
      <c r="DI103" s="204" t="s">
        <v>186</v>
      </c>
      <c r="EF103" s="247"/>
    </row>
    <row r="104" spans="1:180" ht="12.9" customHeight="1" x14ac:dyDescent="0.3"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BB104" s="255"/>
      <c r="BC104" s="256"/>
      <c r="BD104" s="257"/>
      <c r="BG104" s="258"/>
      <c r="BH104" s="258"/>
      <c r="BI104" s="258"/>
      <c r="BJ104" s="258"/>
      <c r="BK104" s="204"/>
      <c r="BL104" s="204"/>
      <c r="BM104" s="204"/>
      <c r="BN104" s="204"/>
      <c r="BO104" s="204"/>
      <c r="BP104" s="204"/>
      <c r="BQ104" s="204"/>
      <c r="BR104" s="204"/>
      <c r="BS104" s="244"/>
      <c r="BW104" s="204"/>
      <c r="BX104" s="204"/>
      <c r="BY104" s="204"/>
      <c r="BZ104" s="204"/>
      <c r="CA104" s="204"/>
      <c r="CB104" s="204"/>
      <c r="CC104" s="204" t="s">
        <v>64</v>
      </c>
      <c r="CD104" s="253">
        <f>0.94*AF35</f>
        <v>346.76599999999996</v>
      </c>
      <c r="CE104" s="253"/>
      <c r="CF104" s="253"/>
      <c r="CG104" s="204" t="s">
        <v>186</v>
      </c>
      <c r="CH104" s="204"/>
      <c r="CI104" s="204"/>
      <c r="CJ104" s="204"/>
      <c r="CK104" s="204"/>
      <c r="CL104" s="204"/>
      <c r="CM104" s="204"/>
      <c r="CN104" s="204"/>
      <c r="CO104" s="204"/>
      <c r="CP104" s="204"/>
      <c r="CQ104" s="204"/>
      <c r="CR104" s="204"/>
      <c r="CS104" s="204"/>
      <c r="CT104" s="204"/>
      <c r="CU104" s="249"/>
      <c r="CV104" s="250"/>
      <c r="CW104" s="204"/>
      <c r="CX104" s="204"/>
      <c r="CY104" s="204"/>
      <c r="CZ104" s="204"/>
      <c r="DA104" s="204" t="s">
        <v>187</v>
      </c>
      <c r="EF104" s="247"/>
    </row>
    <row r="105" spans="1:180" ht="12.9" customHeight="1" x14ac:dyDescent="0.3"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BB105" s="257"/>
      <c r="BC105" s="257"/>
      <c r="BD105" s="257"/>
      <c r="BE105" s="257"/>
      <c r="BF105" s="257"/>
      <c r="BG105" s="259"/>
      <c r="BH105" s="259"/>
      <c r="BI105" s="259"/>
      <c r="BJ105" s="259"/>
      <c r="BK105" s="204"/>
      <c r="BL105" s="204"/>
      <c r="BM105" s="204"/>
      <c r="BN105" s="204"/>
      <c r="BO105" s="204"/>
      <c r="BP105" s="204"/>
      <c r="BQ105" s="204"/>
      <c r="BR105" s="204"/>
      <c r="BS105" s="244"/>
      <c r="BW105" s="204" t="s">
        <v>188</v>
      </c>
      <c r="BX105" s="204"/>
      <c r="BY105" s="204"/>
      <c r="BZ105" s="204"/>
      <c r="CA105" s="204"/>
      <c r="CB105" s="204"/>
      <c r="CC105" s="204"/>
      <c r="CD105" s="204"/>
      <c r="CE105" s="204"/>
      <c r="CF105" s="204"/>
      <c r="CG105" s="204"/>
      <c r="CH105" s="204"/>
      <c r="CI105" s="204"/>
      <c r="CJ105" s="204"/>
      <c r="CK105" s="204"/>
      <c r="CL105" s="204"/>
      <c r="CM105" s="204"/>
      <c r="CN105" s="204"/>
      <c r="CO105" s="204"/>
      <c r="CP105" s="204"/>
      <c r="CQ105" s="204"/>
      <c r="CR105" s="204"/>
      <c r="CS105" s="204"/>
      <c r="CT105" s="204"/>
      <c r="CU105" s="249"/>
      <c r="CV105" s="250"/>
      <c r="CW105" s="204"/>
      <c r="CX105" s="204"/>
      <c r="CY105" s="204"/>
      <c r="CZ105" s="204" t="s">
        <v>188</v>
      </c>
      <c r="DA105" s="204"/>
      <c r="EF105" s="247"/>
    </row>
    <row r="106" spans="1:180" ht="12.9" customHeight="1" x14ac:dyDescent="0.3"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BB106" s="204"/>
      <c r="BC106" s="204"/>
      <c r="BD106" s="204"/>
      <c r="BE106" s="204"/>
      <c r="BF106" s="204"/>
      <c r="BG106" s="204"/>
      <c r="BH106" s="204"/>
      <c r="BI106" s="204"/>
      <c r="BJ106" s="204"/>
      <c r="BK106" s="204"/>
      <c r="BL106" s="204"/>
      <c r="BM106" s="204"/>
      <c r="BN106" s="204"/>
      <c r="BO106" s="204"/>
      <c r="BP106" s="204"/>
      <c r="BQ106" s="204"/>
      <c r="BR106" s="204"/>
      <c r="BS106" s="244"/>
      <c r="BW106" s="204"/>
      <c r="BX106" s="204" t="s">
        <v>189</v>
      </c>
      <c r="BY106" s="204"/>
      <c r="BZ106" s="204"/>
      <c r="CA106" s="204"/>
      <c r="CB106" s="204"/>
      <c r="CC106" s="204"/>
      <c r="CD106" s="204"/>
      <c r="CE106" s="204"/>
      <c r="CF106" s="204"/>
      <c r="CG106" s="204"/>
      <c r="CH106" s="204"/>
      <c r="CI106" s="204"/>
      <c r="CJ106" s="204"/>
      <c r="CK106" s="204"/>
      <c r="CL106" s="204"/>
      <c r="CM106" s="204"/>
      <c r="CN106" s="204"/>
      <c r="CO106" s="204"/>
      <c r="CP106" s="204"/>
      <c r="CQ106" s="204"/>
      <c r="CR106" s="204"/>
      <c r="CS106" s="204"/>
      <c r="CT106" s="204"/>
      <c r="CU106" s="249"/>
      <c r="CV106" s="250"/>
      <c r="CW106" s="204"/>
      <c r="CX106" s="204"/>
      <c r="CY106" s="204"/>
      <c r="CZ106" s="204"/>
      <c r="DA106" s="204" t="s">
        <v>178</v>
      </c>
      <c r="DF106" t="s">
        <v>64</v>
      </c>
      <c r="DG106" s="253" t="str">
        <f>P35</f>
        <v/>
      </c>
      <c r="DH106" s="253"/>
      <c r="DI106" s="204" t="s">
        <v>186</v>
      </c>
      <c r="EF106" s="247"/>
    </row>
    <row r="107" spans="1:180" ht="12.9" customHeight="1" x14ac:dyDescent="0.3"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4"/>
      <c r="BL107" s="204"/>
      <c r="BM107" s="204"/>
      <c r="BN107" s="204"/>
      <c r="BO107" s="204"/>
      <c r="BP107" s="204"/>
      <c r="BQ107" s="204"/>
      <c r="BR107" s="204"/>
      <c r="BS107" s="244"/>
      <c r="BW107" s="204"/>
      <c r="BX107" s="204"/>
      <c r="BY107" s="204"/>
      <c r="BZ107" s="204"/>
      <c r="CA107" s="204"/>
      <c r="CB107" s="204"/>
      <c r="CC107" s="204" t="s">
        <v>64</v>
      </c>
      <c r="CD107" s="253">
        <f>AF35</f>
        <v>368.9</v>
      </c>
      <c r="CE107" s="253"/>
      <c r="CF107" s="253"/>
      <c r="CG107" s="204" t="s">
        <v>186</v>
      </c>
      <c r="CH107" s="204"/>
      <c r="CI107" s="204"/>
      <c r="CJ107" s="204"/>
      <c r="CK107" s="204"/>
      <c r="CL107" s="204"/>
      <c r="CM107" s="204"/>
      <c r="CN107" s="204"/>
      <c r="CO107" s="204"/>
      <c r="CP107" s="204"/>
      <c r="CQ107" s="204"/>
      <c r="CR107" s="204"/>
      <c r="CS107" s="204"/>
      <c r="CT107" s="204"/>
      <c r="CU107" s="249"/>
      <c r="CV107" s="250"/>
      <c r="CW107" s="204"/>
      <c r="CX107" s="204"/>
      <c r="CY107" s="204"/>
      <c r="CZ107" s="204"/>
      <c r="DA107" s="204"/>
      <c r="EF107" s="247"/>
      <c r="FX107" s="260" t="s">
        <v>190</v>
      </c>
    </row>
    <row r="108" spans="1:180" ht="12.9" customHeight="1" x14ac:dyDescent="0.3">
      <c r="BB108" s="204"/>
      <c r="BC108" s="204"/>
      <c r="BD108" s="204"/>
      <c r="BE108" s="204"/>
      <c r="BF108" s="204"/>
      <c r="BG108" s="204"/>
      <c r="BH108" s="204"/>
      <c r="BI108" s="204"/>
      <c r="BJ108" s="204"/>
      <c r="BK108" s="204"/>
      <c r="BL108" s="204"/>
      <c r="BM108" s="204"/>
      <c r="BN108" s="204"/>
      <c r="BO108" s="204"/>
      <c r="BP108" s="204"/>
      <c r="BQ108" s="204"/>
      <c r="BR108" s="204"/>
      <c r="BS108" s="244"/>
      <c r="BW108" s="204" t="s">
        <v>191</v>
      </c>
      <c r="BX108" s="204"/>
      <c r="BY108" s="204"/>
      <c r="BZ108" s="204"/>
      <c r="CA108" s="204"/>
      <c r="CB108" s="204"/>
      <c r="CC108" s="204"/>
      <c r="CD108" s="204"/>
      <c r="CE108" s="204"/>
      <c r="CF108" s="204"/>
      <c r="CG108" s="204"/>
      <c r="CH108" s="204"/>
      <c r="CI108" s="204"/>
      <c r="CJ108" s="204"/>
      <c r="CK108" s="204"/>
      <c r="CL108" s="204"/>
      <c r="CM108" s="204"/>
      <c r="CN108" s="204"/>
      <c r="CO108" s="204"/>
      <c r="CP108" s="204"/>
      <c r="CQ108" s="204"/>
      <c r="CR108" s="204"/>
      <c r="CS108" s="204"/>
      <c r="CT108" s="204"/>
      <c r="CU108" s="249"/>
      <c r="CV108" s="250"/>
      <c r="CW108" s="204"/>
      <c r="CX108" s="204"/>
      <c r="CY108" s="204"/>
      <c r="CZ108" s="204"/>
      <c r="DA108" s="204"/>
      <c r="EF108" s="247"/>
    </row>
    <row r="109" spans="1:180" ht="12.9" customHeight="1" x14ac:dyDescent="0.3">
      <c r="BB109" s="204"/>
      <c r="BC109" s="204"/>
      <c r="BD109" s="204"/>
      <c r="BE109" s="204"/>
      <c r="BF109" s="204"/>
      <c r="BG109" s="204"/>
      <c r="BH109" s="204"/>
      <c r="BI109" s="204"/>
      <c r="BJ109" s="204"/>
      <c r="BK109" s="204"/>
      <c r="BL109" s="204"/>
      <c r="BM109" s="204"/>
      <c r="BN109" s="204"/>
      <c r="BO109" s="204"/>
      <c r="BP109" s="204"/>
      <c r="BQ109" s="204"/>
      <c r="BR109" s="204"/>
      <c r="BS109" s="244"/>
      <c r="BW109" s="204"/>
      <c r="BX109" s="204" t="s">
        <v>189</v>
      </c>
      <c r="BY109" s="204"/>
      <c r="BZ109" s="204"/>
      <c r="CA109" s="204"/>
      <c r="CB109" s="204"/>
      <c r="CC109" s="204"/>
      <c r="CD109" s="204"/>
      <c r="CE109" s="204"/>
      <c r="CF109" s="204"/>
      <c r="CG109" s="204"/>
      <c r="CH109" s="204"/>
      <c r="CI109" s="204"/>
      <c r="CJ109" s="204"/>
      <c r="CK109" s="204"/>
      <c r="CL109" s="204"/>
      <c r="CM109" s="204"/>
      <c r="CN109" s="204"/>
      <c r="CO109" s="204"/>
      <c r="CP109" s="204"/>
      <c r="CQ109" s="204"/>
      <c r="CR109" s="204"/>
      <c r="CS109" s="204"/>
      <c r="CT109" s="204"/>
      <c r="CU109" s="249"/>
      <c r="CV109" s="250"/>
      <c r="CW109" s="204"/>
      <c r="CX109" s="204"/>
      <c r="CY109" s="204"/>
      <c r="CZ109" s="204" t="s">
        <v>191</v>
      </c>
      <c r="DA109" s="204"/>
      <c r="EF109" s="247"/>
    </row>
    <row r="110" spans="1:180" ht="12.9" customHeight="1" x14ac:dyDescent="0.3">
      <c r="BB110" s="204"/>
      <c r="BC110" s="204"/>
      <c r="BD110" s="204"/>
      <c r="BE110" s="204"/>
      <c r="BF110" s="204"/>
      <c r="BG110" s="204"/>
      <c r="BH110" s="204"/>
      <c r="BI110" s="204"/>
      <c r="BJ110" s="204"/>
      <c r="BK110" s="204"/>
      <c r="BL110" s="204"/>
      <c r="BM110" s="204"/>
      <c r="BN110" s="204"/>
      <c r="BO110" s="204"/>
      <c r="BP110" s="204"/>
      <c r="BQ110" s="204"/>
      <c r="BR110" s="204"/>
      <c r="BS110" s="244"/>
      <c r="BW110" s="204"/>
      <c r="BX110" s="204"/>
      <c r="BY110" s="204"/>
      <c r="BZ110" s="204"/>
      <c r="CA110" s="204"/>
      <c r="CB110" s="204"/>
      <c r="CC110" s="204" t="s">
        <v>64</v>
      </c>
      <c r="CD110" s="253">
        <f>AF35</f>
        <v>368.9</v>
      </c>
      <c r="CE110" s="253"/>
      <c r="CF110" s="253"/>
      <c r="CG110" s="204" t="s">
        <v>186</v>
      </c>
      <c r="CH110" s="204"/>
      <c r="CI110" s="204"/>
      <c r="CJ110" s="204"/>
      <c r="CK110" s="204"/>
      <c r="CL110" s="204"/>
      <c r="CM110" s="204"/>
      <c r="CN110" s="204"/>
      <c r="CO110" s="204"/>
      <c r="CP110" s="204"/>
      <c r="CQ110" s="204"/>
      <c r="CR110" s="204"/>
      <c r="CS110" s="204"/>
      <c r="CT110" s="204"/>
      <c r="CU110" s="249"/>
      <c r="CV110" s="250"/>
      <c r="CW110" s="204"/>
      <c r="CX110" s="204"/>
      <c r="CY110" s="204"/>
      <c r="CZ110" s="204"/>
      <c r="DA110" s="204" t="s">
        <v>178</v>
      </c>
      <c r="EF110" s="247"/>
    </row>
    <row r="111" spans="1:180" ht="12.9" customHeight="1" x14ac:dyDescent="0.3">
      <c r="BB111" s="204"/>
      <c r="BC111" s="204"/>
      <c r="BD111" s="204"/>
      <c r="BE111" s="204"/>
      <c r="BF111" s="204"/>
      <c r="BG111" s="204"/>
      <c r="BH111" s="204"/>
      <c r="BI111" s="204"/>
      <c r="BJ111" s="204"/>
      <c r="BK111" s="204"/>
      <c r="BL111" s="204"/>
      <c r="BM111" s="204"/>
      <c r="BN111" s="204"/>
      <c r="BO111" s="204"/>
      <c r="BP111" s="204"/>
      <c r="BQ111" s="204"/>
      <c r="BR111" s="204"/>
      <c r="BS111" s="244"/>
      <c r="BW111" s="204"/>
      <c r="BX111" s="204"/>
      <c r="BY111" s="204"/>
      <c r="BZ111" s="204"/>
      <c r="CA111" s="204"/>
      <c r="CB111" s="204"/>
      <c r="CC111" s="204"/>
      <c r="CD111" s="204"/>
      <c r="CE111" s="204"/>
      <c r="CF111" s="204"/>
      <c r="CG111" s="204"/>
      <c r="CH111" s="204"/>
      <c r="CI111" s="204"/>
      <c r="CJ111" s="204"/>
      <c r="CK111" s="204"/>
      <c r="CL111" s="204"/>
      <c r="CM111" s="204"/>
      <c r="CN111" s="204"/>
      <c r="CO111" s="204"/>
      <c r="CP111" s="204"/>
      <c r="CQ111" s="204"/>
      <c r="CR111" s="204"/>
      <c r="CS111" s="204"/>
      <c r="CT111" s="204"/>
      <c r="CU111" s="249"/>
      <c r="CV111" s="250"/>
      <c r="CW111" s="204"/>
      <c r="CX111" s="204"/>
      <c r="CY111" s="204"/>
      <c r="CZ111" s="204"/>
      <c r="DA111" s="204"/>
      <c r="EF111" s="247"/>
    </row>
    <row r="112" spans="1:180" ht="12.9" customHeight="1" x14ac:dyDescent="0.3">
      <c r="BB112" s="204"/>
      <c r="BC112" s="204"/>
      <c r="BD112" s="204"/>
      <c r="BE112" s="204"/>
      <c r="BF112" s="204"/>
      <c r="BG112" s="204"/>
      <c r="BH112" s="204"/>
      <c r="BI112" s="204"/>
      <c r="BJ112" s="204"/>
      <c r="BK112" s="204"/>
      <c r="BL112" s="204"/>
      <c r="BM112" s="204"/>
      <c r="BN112" s="204"/>
      <c r="BO112" s="204"/>
      <c r="BP112" s="204"/>
      <c r="BQ112" s="204"/>
      <c r="BR112" s="204"/>
      <c r="BS112" s="244"/>
      <c r="BV112" t="s">
        <v>192</v>
      </c>
      <c r="BW112" s="248" t="s">
        <v>193</v>
      </c>
      <c r="BX112" s="204"/>
      <c r="BY112" s="204"/>
      <c r="BZ112" s="204"/>
      <c r="CA112" s="204"/>
      <c r="CB112" s="204"/>
      <c r="CC112" s="204"/>
      <c r="CD112" s="204"/>
      <c r="CE112" s="204"/>
      <c r="CF112" s="204"/>
      <c r="CG112" s="204"/>
      <c r="CH112" s="204"/>
      <c r="CI112" s="204"/>
      <c r="CJ112" s="204"/>
      <c r="CK112" s="204"/>
      <c r="CL112" s="204"/>
      <c r="CM112" s="204"/>
      <c r="CN112" s="204"/>
      <c r="CO112" s="204"/>
      <c r="CP112" s="204"/>
      <c r="CQ112" s="204"/>
      <c r="CR112" s="204"/>
      <c r="CS112" s="204"/>
      <c r="CT112" s="204"/>
      <c r="CU112" s="249"/>
      <c r="CV112" s="250"/>
      <c r="CW112" s="204"/>
      <c r="CX112" s="204"/>
      <c r="CY112" s="204"/>
      <c r="CZ112" s="204"/>
      <c r="DA112" s="204" t="s">
        <v>194</v>
      </c>
      <c r="DD112" s="261" t="str">
        <f>IF(AD9="","",IF(AD9&lt;=5,"Nonvolatile Liquids","Volatile Liquids"))</f>
        <v>Volatile Liquids</v>
      </c>
      <c r="DE112" s="261"/>
      <c r="DF112" s="261"/>
      <c r="DG112" s="261"/>
      <c r="DH112" s="261"/>
      <c r="EF112" s="247"/>
    </row>
    <row r="113" spans="54:169" ht="12.9" customHeight="1" x14ac:dyDescent="0.3">
      <c r="BB113" s="204"/>
      <c r="BC113" s="204"/>
      <c r="BD113" s="204"/>
      <c r="BE113" s="204"/>
      <c r="BF113" s="204"/>
      <c r="BG113" s="204"/>
      <c r="BH113" s="204"/>
      <c r="BI113" s="204"/>
      <c r="BJ113" s="204"/>
      <c r="BK113" s="204"/>
      <c r="BL113" s="204"/>
      <c r="BM113" s="204"/>
      <c r="BN113" s="204"/>
      <c r="BO113" s="204"/>
      <c r="BP113" s="204"/>
      <c r="BQ113" s="204"/>
      <c r="BR113" s="204"/>
      <c r="BS113" s="244"/>
      <c r="BW113" s="204" t="s">
        <v>184</v>
      </c>
      <c r="BX113" s="204"/>
      <c r="BY113" s="204"/>
      <c r="BZ113" s="204"/>
      <c r="CA113" s="204"/>
      <c r="CB113" s="204"/>
      <c r="CC113" s="204"/>
      <c r="CD113" s="204"/>
      <c r="CE113" s="204"/>
      <c r="CF113" s="204"/>
      <c r="CG113" s="204"/>
      <c r="CH113" s="204"/>
      <c r="CI113" s="204"/>
      <c r="CJ113" s="204"/>
      <c r="CK113" s="204"/>
      <c r="CL113" s="204"/>
      <c r="CM113" s="204"/>
      <c r="CN113" s="204"/>
      <c r="CO113" s="204"/>
      <c r="CP113" s="204"/>
      <c r="CQ113" s="204"/>
      <c r="CR113" s="204"/>
      <c r="CS113" s="204"/>
      <c r="CT113" s="204"/>
      <c r="CU113" s="249"/>
      <c r="CV113" s="250"/>
      <c r="CW113" s="204"/>
      <c r="CX113" s="204"/>
      <c r="CY113" s="204"/>
      <c r="CZ113" s="204"/>
      <c r="DA113" s="204" t="s">
        <v>178</v>
      </c>
      <c r="DF113" t="s">
        <v>64</v>
      </c>
      <c r="DG113" s="253" t="e">
        <f>IF(AD9="","Check VP",IF(AD9&gt;5,P35*2,IF(AD9&lt;=5,P35,"error")))</f>
        <v>#VALUE!</v>
      </c>
      <c r="DH113" s="253"/>
      <c r="DI113" s="204" t="s">
        <v>186</v>
      </c>
      <c r="EF113" s="247"/>
      <c r="EJ113" s="262" t="s">
        <v>195</v>
      </c>
      <c r="EK113" s="263"/>
      <c r="EL113" s="263"/>
      <c r="EM113" s="263"/>
      <c r="EN113" s="263"/>
      <c r="EO113" s="263"/>
      <c r="EP113" s="264"/>
      <c r="EQ113" s="264"/>
      <c r="ER113" s="263"/>
      <c r="ES113" s="265"/>
      <c r="ET113" s="265"/>
      <c r="EU113" s="265"/>
      <c r="EV113" s="265"/>
      <c r="EW113" s="265"/>
      <c r="EX113" s="265"/>
      <c r="EY113" s="263"/>
      <c r="EZ113" s="266"/>
      <c r="FA113" s="267">
        <f>Q12</f>
        <v>689.44135738620162</v>
      </c>
      <c r="FB113" s="268"/>
      <c r="FC113" s="268"/>
      <c r="FD113" s="269"/>
      <c r="FE113" s="270" t="s">
        <v>196</v>
      </c>
      <c r="FF113" s="271"/>
      <c r="FG113" s="271"/>
      <c r="FH113" s="271"/>
      <c r="FI113" s="272"/>
    </row>
    <row r="114" spans="54:169" ht="12.9" customHeight="1" x14ac:dyDescent="0.3">
      <c r="BB114" s="204"/>
      <c r="BC114" s="204"/>
      <c r="BD114" s="204"/>
      <c r="BE114" s="204"/>
      <c r="BF114" s="204"/>
      <c r="BG114" s="204"/>
      <c r="BH114" s="204"/>
      <c r="BI114" s="204"/>
      <c r="BJ114" s="204"/>
      <c r="BK114" s="204"/>
      <c r="BL114" s="204"/>
      <c r="BM114" s="204"/>
      <c r="BN114" s="204"/>
      <c r="BO114" s="204"/>
      <c r="BP114" s="204"/>
      <c r="BQ114" s="204"/>
      <c r="BR114" s="204"/>
      <c r="BS114" s="244"/>
      <c r="BW114" s="204"/>
      <c r="BX114" s="204" t="s">
        <v>197</v>
      </c>
      <c r="BY114" s="204"/>
      <c r="BZ114" s="204"/>
      <c r="CA114" s="204"/>
      <c r="CB114" s="204"/>
      <c r="CC114" s="204"/>
      <c r="CD114" s="204"/>
      <c r="CE114" s="204"/>
      <c r="CF114" s="204"/>
      <c r="CG114" s="204"/>
      <c r="CH114" s="204"/>
      <c r="CI114" s="204"/>
      <c r="CJ114" s="204"/>
      <c r="CK114" s="204"/>
      <c r="CL114" s="204"/>
      <c r="CM114" s="204"/>
      <c r="CN114" s="204"/>
      <c r="CO114" s="204"/>
      <c r="CP114" s="204"/>
      <c r="CQ114" s="204"/>
      <c r="CR114" s="204"/>
      <c r="CS114" s="204"/>
      <c r="CT114" s="204"/>
      <c r="CU114" s="249"/>
      <c r="CV114" s="250"/>
      <c r="CW114" s="204"/>
      <c r="CX114" s="204"/>
      <c r="CY114" s="204"/>
      <c r="CZ114" s="204"/>
      <c r="DA114" s="204"/>
      <c r="EF114" s="247"/>
      <c r="EJ114" s="273" t="s">
        <v>198</v>
      </c>
      <c r="EK114" s="263"/>
      <c r="EL114" s="263"/>
      <c r="EM114" s="263"/>
      <c r="EN114" s="263"/>
      <c r="EO114" s="263"/>
      <c r="EP114" s="264"/>
      <c r="EQ114" s="264"/>
      <c r="ER114" s="263"/>
      <c r="ES114" s="265"/>
      <c r="ET114" s="265"/>
      <c r="EU114" s="274"/>
      <c r="EV114" s="265"/>
      <c r="EW114" s="265"/>
      <c r="EX114" s="265"/>
      <c r="EY114" s="263"/>
      <c r="EZ114" s="266"/>
      <c r="FA114" s="275">
        <f>IF(FA113&lt;18.6, 63150*FA113, IF(AND(FA113&lt;93, FA113&gt;=18.6),
                    224200*FA113^0.566, IF(AND(FJ115260, FA113&gt;=93), 630400*FA113^0.338,
                    IF(AND(FA113&gt;=260, FA119&gt;7), 43200*FA113^0.82, IF(AND(FA113&gt;260,
                    FA119&lt;=7), 4129700)))))</f>
        <v>5741538.7814176753</v>
      </c>
      <c r="FB114" s="275"/>
      <c r="FC114" s="275"/>
      <c r="FD114" s="276"/>
      <c r="FE114" s="277" t="s">
        <v>156</v>
      </c>
      <c r="FF114" s="278"/>
      <c r="FG114" s="278"/>
      <c r="FH114" s="278"/>
      <c r="FI114" s="279"/>
    </row>
    <row r="115" spans="54:169" ht="12.9" customHeight="1" x14ac:dyDescent="0.3"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4"/>
      <c r="BL115" s="204"/>
      <c r="BM115" s="204"/>
      <c r="BN115" s="204"/>
      <c r="BO115" s="204"/>
      <c r="BP115" s="204"/>
      <c r="BQ115" s="204"/>
      <c r="BR115" s="204"/>
      <c r="BS115" s="244"/>
      <c r="BW115" s="204"/>
      <c r="BX115" s="204" t="s">
        <v>199</v>
      </c>
      <c r="BY115" s="204"/>
      <c r="BZ115" s="204"/>
      <c r="CA115" s="204"/>
      <c r="CB115" s="204"/>
      <c r="CC115" s="204" t="s">
        <v>64</v>
      </c>
      <c r="CD115" s="252">
        <f>IF(Q10="","",IF(Q10&gt;30000,"Area
                    error",(((VLOOKUP(VLOOKUP(Q10,EA21:EW48,23,TRUE)+1,DZ21:EV48,6,TRUE)-VLOOKUP(Q10,EA21:EW48,5,TRUE))/(VLOOKUP(VLOOKUP(Q10,EA21:EW48,23,TRUE)+1,DZ21:EV48,2,TRUE)-VLOOKUP(Q10,EA21:EW48,1,TRUE)))*(Q10-VLOOKUP(Q10,EA21:EW48,1,TRUE)))+VLOOKUP(Q10,EA21:EW48,5,TRUE)))</f>
        <v>1046.4698587331329</v>
      </c>
      <c r="CE115" s="252"/>
      <c r="CF115" s="252"/>
      <c r="CG115" s="204" t="s">
        <v>186</v>
      </c>
      <c r="CH115" s="204"/>
      <c r="CI115" s="204"/>
      <c r="CJ115" s="204"/>
      <c r="CK115" s="204"/>
      <c r="CL115" s="204"/>
      <c r="CM115" s="204"/>
      <c r="CN115" s="204"/>
      <c r="CO115" s="204"/>
      <c r="CP115" s="204"/>
      <c r="CQ115" s="204"/>
      <c r="CR115" s="204"/>
      <c r="CS115" s="204"/>
      <c r="CT115" s="204"/>
      <c r="CU115" s="249"/>
      <c r="CV115" s="250"/>
      <c r="CW115" s="204"/>
      <c r="CX115" s="204"/>
      <c r="CY115" s="204"/>
      <c r="CZ115" s="204"/>
      <c r="DA115" s="204"/>
      <c r="EF115" s="247"/>
      <c r="EH115" s="280"/>
      <c r="EJ115" s="273" t="s">
        <v>200</v>
      </c>
      <c r="EK115" s="263"/>
      <c r="EL115" s="263"/>
      <c r="EM115" s="263"/>
      <c r="EN115" s="263"/>
      <c r="EO115" s="263"/>
      <c r="EP115" s="264"/>
      <c r="EQ115" s="264"/>
      <c r="ER115" s="263"/>
      <c r="ES115" s="265"/>
      <c r="ET115" s="265"/>
      <c r="EU115" s="274"/>
      <c r="EV115" s="265"/>
      <c r="EW115" s="265"/>
      <c r="EX115" s="265"/>
      <c r="EY115" s="263"/>
      <c r="EZ115" s="266"/>
      <c r="FA115" s="281">
        <f>IF(U52="",1,U52)</f>
        <v>1</v>
      </c>
      <c r="FB115" s="281"/>
      <c r="FC115" s="281"/>
      <c r="FD115" s="282"/>
      <c r="FE115" s="277"/>
      <c r="FF115" s="278"/>
      <c r="FG115" s="278"/>
      <c r="FH115" s="278"/>
      <c r="FI115" s="279"/>
    </row>
    <row r="116" spans="54:169" ht="12.9" customHeight="1" x14ac:dyDescent="0.3">
      <c r="BB116" s="204"/>
      <c r="BC116" s="204"/>
      <c r="BD116" s="204"/>
      <c r="BE116" s="204"/>
      <c r="BF116" s="204"/>
      <c r="BG116" s="204"/>
      <c r="BH116" s="204"/>
      <c r="BI116" s="204"/>
      <c r="BJ116" s="204"/>
      <c r="BK116" s="204"/>
      <c r="BL116" s="204"/>
      <c r="BM116" s="204"/>
      <c r="BN116" s="204"/>
      <c r="BO116" s="204"/>
      <c r="BP116" s="204"/>
      <c r="BQ116" s="204"/>
      <c r="BR116" s="204"/>
      <c r="BS116" s="244"/>
      <c r="BW116" s="204"/>
      <c r="BX116" s="204"/>
      <c r="BY116" s="204"/>
      <c r="BZ116" s="204"/>
      <c r="CA116" s="204"/>
      <c r="CB116" s="204"/>
      <c r="CC116" s="204"/>
      <c r="CD116" s="204"/>
      <c r="CE116" s="204"/>
      <c r="CF116" s="204"/>
      <c r="CG116" s="204"/>
      <c r="CH116" s="204"/>
      <c r="CI116" s="204"/>
      <c r="CJ116" s="204"/>
      <c r="CK116" s="204"/>
      <c r="CL116" s="204"/>
      <c r="CM116" s="204"/>
      <c r="CN116" s="204"/>
      <c r="CO116" s="204"/>
      <c r="CP116" s="204"/>
      <c r="CQ116" s="204"/>
      <c r="CR116" s="204"/>
      <c r="CS116" s="204"/>
      <c r="CT116" s="204"/>
      <c r="CU116" s="249"/>
      <c r="CV116" s="250"/>
      <c r="CW116" s="204"/>
      <c r="CX116" s="204"/>
      <c r="CY116" s="204" t="s">
        <v>201</v>
      </c>
      <c r="CZ116" s="204" t="s">
        <v>202</v>
      </c>
      <c r="DA116" s="204"/>
      <c r="EF116" s="247"/>
      <c r="EH116" s="280"/>
      <c r="EJ116" s="273" t="s">
        <v>203</v>
      </c>
      <c r="EK116" s="263"/>
      <c r="EL116" s="263"/>
      <c r="EM116" s="263"/>
      <c r="EN116" s="263"/>
      <c r="EO116" s="263"/>
      <c r="EP116" s="264"/>
      <c r="EQ116" s="264"/>
      <c r="ER116" s="263"/>
      <c r="ES116" s="265"/>
      <c r="ET116" s="265"/>
      <c r="EU116" s="274"/>
      <c r="EV116" s="265"/>
      <c r="EW116" s="265"/>
      <c r="EX116" s="265"/>
      <c r="EY116" s="263"/>
      <c r="EZ116" s="266"/>
      <c r="FA116" s="281">
        <f>IF(AH11="",334.9,AH11)</f>
        <v>334.9</v>
      </c>
      <c r="FB116" s="281"/>
      <c r="FC116" s="281"/>
      <c r="FD116" s="282"/>
      <c r="FE116" s="277" t="s">
        <v>38</v>
      </c>
      <c r="FF116" s="278"/>
      <c r="FG116" s="278"/>
      <c r="FH116" s="278"/>
      <c r="FI116" s="279"/>
    </row>
    <row r="117" spans="54:169" ht="12.9" customHeight="1" x14ac:dyDescent="0.3">
      <c r="BB117" s="204"/>
      <c r="BC117" s="204"/>
      <c r="BD117" s="204"/>
      <c r="BE117" s="204"/>
      <c r="BF117" s="204"/>
      <c r="BG117" s="204"/>
      <c r="BH117" s="204"/>
      <c r="BI117" s="204"/>
      <c r="BJ117" s="204"/>
      <c r="BK117" s="204"/>
      <c r="BL117" s="204"/>
      <c r="BM117" s="204"/>
      <c r="BN117" s="204"/>
      <c r="BO117" s="204"/>
      <c r="BP117" s="204"/>
      <c r="BQ117" s="204"/>
      <c r="BR117" s="204"/>
      <c r="BS117" s="244"/>
      <c r="BW117" s="204" t="s">
        <v>188</v>
      </c>
      <c r="BX117" s="204"/>
      <c r="BY117" s="204"/>
      <c r="BZ117" s="204"/>
      <c r="CA117" s="204"/>
      <c r="CB117" s="204"/>
      <c r="CC117" s="204"/>
      <c r="CD117" s="204"/>
      <c r="CE117" s="204"/>
      <c r="CF117" s="204"/>
      <c r="CG117" s="204"/>
      <c r="CH117" s="204"/>
      <c r="CI117" s="204"/>
      <c r="CJ117" s="204"/>
      <c r="CK117" s="204"/>
      <c r="CL117" s="204"/>
      <c r="CM117" s="204"/>
      <c r="CN117" s="204"/>
      <c r="CO117" s="204"/>
      <c r="CP117" s="204"/>
      <c r="CQ117" s="204"/>
      <c r="CR117" s="204"/>
      <c r="CS117" s="204"/>
      <c r="CT117" s="204"/>
      <c r="CU117" s="249"/>
      <c r="CV117" s="250"/>
      <c r="CW117" s="204"/>
      <c r="CX117" s="204"/>
      <c r="CY117" s="204"/>
      <c r="CZ117" s="204" t="s">
        <v>184</v>
      </c>
      <c r="DA117" s="204"/>
      <c r="EF117" s="247"/>
      <c r="EH117" s="280"/>
      <c r="EJ117" s="273" t="s">
        <v>204</v>
      </c>
      <c r="EK117" s="263"/>
      <c r="EL117" s="263"/>
      <c r="EM117" s="263"/>
      <c r="EN117" s="263"/>
      <c r="EO117" s="263"/>
      <c r="EP117" s="264"/>
      <c r="EQ117" s="264"/>
      <c r="ER117" s="263"/>
      <c r="ES117" s="265"/>
      <c r="ET117" s="265"/>
      <c r="EU117" s="274"/>
      <c r="EV117" s="265"/>
      <c r="EW117" s="265"/>
      <c r="EX117" s="265"/>
      <c r="EY117" s="263"/>
      <c r="EZ117" s="266"/>
      <c r="FA117" s="281">
        <f>IF(AH12="",15.6,AH12)</f>
        <v>15.6</v>
      </c>
      <c r="FB117" s="281"/>
      <c r="FC117" s="281"/>
      <c r="FD117" s="282"/>
      <c r="FE117" s="283" t="s">
        <v>205</v>
      </c>
      <c r="FF117" s="284"/>
      <c r="FG117" s="284"/>
      <c r="FH117" s="284"/>
      <c r="FI117" s="285"/>
    </row>
    <row r="118" spans="54:169" ht="12.9" customHeight="1" x14ac:dyDescent="0.3">
      <c r="BB118" s="204"/>
      <c r="BC118" s="204"/>
      <c r="BD118" s="204"/>
      <c r="BE118" s="204"/>
      <c r="BF118" s="204"/>
      <c r="BG118" s="204"/>
      <c r="BH118" s="204"/>
      <c r="BI118" s="204"/>
      <c r="BJ118" s="204"/>
      <c r="BK118" s="204"/>
      <c r="BL118" s="204"/>
      <c r="BM118" s="204"/>
      <c r="BN118" s="204"/>
      <c r="BO118" s="204"/>
      <c r="BP118" s="204"/>
      <c r="BQ118" s="204"/>
      <c r="BR118" s="204"/>
      <c r="BS118" s="244"/>
      <c r="BW118" s="204"/>
      <c r="BX118" s="286"/>
      <c r="BY118" s="204"/>
      <c r="BZ118" s="204"/>
      <c r="CA118" s="204"/>
      <c r="CB118" s="204"/>
      <c r="CC118" s="204"/>
      <c r="CD118" s="204"/>
      <c r="CE118" s="204"/>
      <c r="CF118" s="204"/>
      <c r="CG118" s="204"/>
      <c r="CH118" s="204"/>
      <c r="CI118" s="204"/>
      <c r="CJ118" s="204"/>
      <c r="CK118" s="204"/>
      <c r="CL118" s="204"/>
      <c r="CM118" s="204"/>
      <c r="CN118" s="204"/>
      <c r="CO118" s="204"/>
      <c r="CP118" s="204"/>
      <c r="CQ118" s="204"/>
      <c r="CR118" s="204"/>
      <c r="CS118" s="204"/>
      <c r="CT118" s="204"/>
      <c r="CU118" s="249"/>
      <c r="CV118" s="250"/>
      <c r="CW118" s="204"/>
      <c r="CX118" s="204"/>
      <c r="CY118" s="204"/>
      <c r="CZ118" s="204"/>
      <c r="DA118" s="204" t="s">
        <v>206</v>
      </c>
      <c r="EF118" s="247"/>
      <c r="EH118" s="280"/>
      <c r="EJ118" s="273" t="s">
        <v>207</v>
      </c>
      <c r="EK118" s="263"/>
      <c r="EL118" s="263"/>
      <c r="EM118" s="263"/>
      <c r="EN118" s="263"/>
      <c r="EO118" s="263"/>
      <c r="EP118" s="264"/>
      <c r="EQ118" s="264"/>
      <c r="ER118" s="263"/>
      <c r="ES118" s="265"/>
      <c r="ET118" s="265"/>
      <c r="EU118" s="274"/>
      <c r="EV118" s="265"/>
      <c r="EW118" s="265"/>
      <c r="EX118" s="265"/>
      <c r="EY118" s="263"/>
      <c r="EZ118" s="266"/>
      <c r="FA118" s="281">
        <f>IF(AH13="",86.17,AH13)</f>
        <v>86.17</v>
      </c>
      <c r="FB118" s="281"/>
      <c r="FC118" s="281"/>
      <c r="FD118" s="282"/>
      <c r="FE118" s="277" t="s">
        <v>208</v>
      </c>
      <c r="FF118" s="278"/>
      <c r="FG118" s="278"/>
      <c r="FH118" s="278"/>
      <c r="FI118" s="279"/>
    </row>
    <row r="119" spans="54:169" ht="12.9" customHeight="1" x14ac:dyDescent="0.3">
      <c r="BB119" s="204"/>
      <c r="BC119" s="204"/>
      <c r="BD119" s="204"/>
      <c r="BE119" s="204"/>
      <c r="BF119" s="204"/>
      <c r="BG119" s="204"/>
      <c r="BH119" s="204"/>
      <c r="BI119" s="204"/>
      <c r="BJ119" s="204"/>
      <c r="BK119" s="204"/>
      <c r="BL119" s="204"/>
      <c r="BM119" s="204"/>
      <c r="BN119" s="204"/>
      <c r="BO119" s="204"/>
      <c r="BP119" s="204"/>
      <c r="BQ119" s="204"/>
      <c r="BR119" s="204"/>
      <c r="BS119" s="244"/>
      <c r="BW119" s="204"/>
      <c r="BX119" s="204"/>
      <c r="BY119" s="204"/>
      <c r="BZ119" s="204"/>
      <c r="CA119" s="204"/>
      <c r="CB119" s="204"/>
      <c r="CC119" s="204"/>
      <c r="CD119" s="204"/>
      <c r="CE119" s="204"/>
      <c r="CF119" s="204"/>
      <c r="CG119" s="204"/>
      <c r="CH119" s="204"/>
      <c r="CI119" s="204"/>
      <c r="CJ119" s="204"/>
      <c r="CK119" s="204"/>
      <c r="CL119" s="204"/>
      <c r="CM119" s="204"/>
      <c r="CN119" s="204"/>
      <c r="CO119" s="204"/>
      <c r="CP119" s="204"/>
      <c r="CQ119" s="204"/>
      <c r="CR119" s="204"/>
      <c r="CS119" s="204"/>
      <c r="CT119" s="204"/>
      <c r="CU119" s="249"/>
      <c r="CV119" s="250"/>
      <c r="CW119" s="204"/>
      <c r="CX119" s="204"/>
      <c r="CY119" s="204"/>
      <c r="CZ119" s="204"/>
      <c r="DA119" s="204" t="s">
        <v>209</v>
      </c>
      <c r="DF119" t="s">
        <v>64</v>
      </c>
      <c r="DG119" s="253" t="str">
        <f>IF(AH10="","Chk
                    F.P/B.P",IF(OR(AH10=AW12,AH10=AW13),DP28,IF(AH10=AW11,DP23,"error")))</f>
        <v>Chk
                    F.P/B.P</v>
      </c>
      <c r="DH119" s="253"/>
      <c r="DI119" s="204" t="s">
        <v>186</v>
      </c>
      <c r="EF119" s="247"/>
      <c r="EH119" s="280"/>
      <c r="EJ119" s="287" t="s">
        <v>210</v>
      </c>
      <c r="EK119" s="204"/>
      <c r="EL119" s="204"/>
      <c r="EM119" s="204"/>
      <c r="EN119" s="204"/>
      <c r="EO119" s="204"/>
      <c r="EP119" s="288"/>
      <c r="EQ119" s="288"/>
      <c r="ER119" s="204"/>
      <c r="ES119" s="289"/>
      <c r="ET119" s="289"/>
      <c r="EU119" s="289"/>
      <c r="EV119" s="289"/>
      <c r="EW119" s="289"/>
      <c r="EX119" s="289"/>
      <c r="EY119" s="204"/>
      <c r="EZ119" s="290"/>
      <c r="FA119" s="291">
        <f>Q14</f>
        <v>101.32</v>
      </c>
      <c r="FB119" s="218"/>
      <c r="FC119" s="218"/>
      <c r="FD119" s="218"/>
      <c r="FE119" s="292" t="s">
        <v>54</v>
      </c>
      <c r="FF119" s="293"/>
      <c r="FG119" s="293"/>
      <c r="FH119" s="293"/>
      <c r="FI119" s="294"/>
    </row>
    <row r="120" spans="54:169" ht="12.9" customHeight="1" x14ac:dyDescent="0.3">
      <c r="BB120" s="204"/>
      <c r="BC120" s="204"/>
      <c r="BD120" s="204"/>
      <c r="BE120" s="204"/>
      <c r="BF120" s="204"/>
      <c r="BG120" s="204"/>
      <c r="BH120" s="204"/>
      <c r="BI120" s="204"/>
      <c r="BJ120" s="204"/>
      <c r="BK120" s="204"/>
      <c r="BL120" s="204"/>
      <c r="BM120" s="204"/>
      <c r="BN120" s="204"/>
      <c r="BO120" s="204"/>
      <c r="BP120" s="204"/>
      <c r="BQ120" s="204"/>
      <c r="BR120" s="204"/>
      <c r="BS120" s="244"/>
      <c r="BW120" s="204"/>
      <c r="BX120" s="204"/>
      <c r="BY120" s="204"/>
      <c r="BZ120" s="204"/>
      <c r="CA120" s="204"/>
      <c r="CB120" s="204"/>
      <c r="CC120" s="204"/>
      <c r="CD120" s="204"/>
      <c r="CE120" s="204"/>
      <c r="CF120" s="204"/>
      <c r="CG120" s="204"/>
      <c r="CH120" s="204"/>
      <c r="CI120" s="204"/>
      <c r="CJ120" s="204"/>
      <c r="CK120" s="204"/>
      <c r="CL120" s="204"/>
      <c r="CM120" s="204"/>
      <c r="CN120" s="204"/>
      <c r="CO120" s="204"/>
      <c r="CP120" s="204"/>
      <c r="CQ120" s="204"/>
      <c r="CR120" s="204"/>
      <c r="CS120" s="204"/>
      <c r="CT120" s="204"/>
      <c r="CU120" s="249"/>
      <c r="CV120" s="250"/>
      <c r="CW120" s="204"/>
      <c r="CX120" s="204"/>
      <c r="CY120" s="204"/>
      <c r="CZ120" s="204"/>
      <c r="DA120" s="204"/>
      <c r="EF120" s="247"/>
      <c r="EH120" s="280"/>
      <c r="EJ120" s="273" t="s">
        <v>211</v>
      </c>
      <c r="EK120" s="263"/>
      <c r="EL120" s="263"/>
      <c r="EM120" s="263"/>
      <c r="EN120" s="263"/>
      <c r="EO120" s="263"/>
      <c r="EP120" s="264"/>
      <c r="EQ120" s="264"/>
      <c r="ER120" s="263"/>
      <c r="ES120" s="265"/>
      <c r="ET120" s="265"/>
      <c r="EU120" s="295"/>
      <c r="EV120" s="265"/>
      <c r="EW120" s="265"/>
      <c r="EX120" s="265"/>
      <c r="EY120" s="263"/>
      <c r="EZ120" s="266"/>
      <c r="FA120" s="275">
        <f>906.6*FA114*FA115/(1000*FA116)*SQRT((FA117+273.15)/FA118)</f>
        <v>28451.935781580785</v>
      </c>
      <c r="FB120" s="275"/>
      <c r="FC120" s="275"/>
      <c r="FD120" s="276"/>
      <c r="FE120" s="277" t="s">
        <v>212</v>
      </c>
      <c r="FF120" s="278"/>
      <c r="FG120" s="278"/>
      <c r="FH120" s="278"/>
      <c r="FI120" s="279"/>
    </row>
    <row r="121" spans="54:169" ht="12.9" customHeight="1" x14ac:dyDescent="0.3">
      <c r="BB121" s="204"/>
      <c r="BC121" s="204"/>
      <c r="BD121" s="204"/>
      <c r="BE121" s="204"/>
      <c r="BF121" s="204"/>
      <c r="BG121" s="204"/>
      <c r="BH121" s="204"/>
      <c r="BI121" s="204"/>
      <c r="BJ121" s="204"/>
      <c r="BK121" s="204"/>
      <c r="BL121" s="204"/>
      <c r="BM121" s="204"/>
      <c r="BN121" s="204"/>
      <c r="BO121" s="204"/>
      <c r="BP121" s="204"/>
      <c r="BQ121" s="204"/>
      <c r="BR121" s="204"/>
      <c r="BS121" s="244"/>
      <c r="BW121" s="204"/>
      <c r="BX121" s="204"/>
      <c r="BY121" s="204"/>
      <c r="BZ121" s="204"/>
      <c r="CA121" s="204"/>
      <c r="CB121" s="204"/>
      <c r="CC121" s="204"/>
      <c r="CD121" s="204"/>
      <c r="CE121" s="204"/>
      <c r="CF121" s="204"/>
      <c r="CG121" s="204"/>
      <c r="CH121" s="204"/>
      <c r="CI121" s="204"/>
      <c r="CJ121" s="204"/>
      <c r="CK121" s="204"/>
      <c r="CL121" s="204"/>
      <c r="CM121" s="204"/>
      <c r="CN121" s="204"/>
      <c r="CO121" s="204"/>
      <c r="CP121" s="204"/>
      <c r="CQ121" s="204"/>
      <c r="CR121" s="204"/>
      <c r="CS121" s="204"/>
      <c r="CT121" s="204"/>
      <c r="CU121" s="249"/>
      <c r="CV121" s="250"/>
      <c r="CW121" s="204"/>
      <c r="CX121" s="204"/>
      <c r="CY121" s="204"/>
      <c r="CZ121" s="204" t="s">
        <v>188</v>
      </c>
      <c r="DA121" s="204"/>
      <c r="EF121" s="247"/>
      <c r="EH121" s="280"/>
      <c r="EJ121" s="296"/>
      <c r="EK121" s="297"/>
      <c r="EL121" s="297"/>
      <c r="EM121" s="297"/>
      <c r="EN121" s="297"/>
      <c r="EO121" s="298"/>
      <c r="EP121" s="204"/>
      <c r="EQ121" s="204"/>
      <c r="ER121" s="204"/>
      <c r="ES121" s="204"/>
      <c r="ET121" s="204"/>
      <c r="EU121" s="204"/>
      <c r="EV121" s="204"/>
      <c r="EW121" s="204"/>
      <c r="EX121" s="204"/>
      <c r="EY121" s="288"/>
      <c r="EZ121" s="288"/>
      <c r="FA121" s="204"/>
      <c r="FB121" s="289"/>
      <c r="FC121" s="289"/>
      <c r="FD121" s="289"/>
      <c r="FE121" s="299"/>
      <c r="FF121" s="299"/>
      <c r="FG121" s="289"/>
      <c r="FH121" s="204"/>
      <c r="FI121" s="204"/>
    </row>
    <row r="122" spans="54:169" ht="12.9" customHeight="1" x14ac:dyDescent="0.3">
      <c r="BB122" s="204"/>
      <c r="BC122" s="204"/>
      <c r="BD122" s="204"/>
      <c r="BE122" s="204"/>
      <c r="BF122" s="204"/>
      <c r="BG122" s="204"/>
      <c r="BH122" s="204"/>
      <c r="BI122" s="204"/>
      <c r="BJ122" s="204"/>
      <c r="BK122" s="204"/>
      <c r="BL122" s="204"/>
      <c r="BM122" s="204"/>
      <c r="BN122" s="204"/>
      <c r="BO122" s="204"/>
      <c r="BP122" s="204"/>
      <c r="BQ122" s="204"/>
      <c r="BR122" s="204"/>
      <c r="BS122" s="244"/>
      <c r="BW122" s="204"/>
      <c r="BX122" s="204"/>
      <c r="BY122" s="204"/>
      <c r="BZ122" s="204"/>
      <c r="CA122" s="204"/>
      <c r="CB122" s="204"/>
      <c r="CC122" s="204"/>
      <c r="CD122" s="204"/>
      <c r="CE122" s="204"/>
      <c r="CF122" s="204"/>
      <c r="CG122" s="204"/>
      <c r="CH122" s="204"/>
      <c r="CI122" s="204"/>
      <c r="CJ122" s="204"/>
      <c r="CK122" s="204"/>
      <c r="CL122" s="204"/>
      <c r="CM122" s="204"/>
      <c r="CN122" s="204"/>
      <c r="CO122" s="204"/>
      <c r="CP122" s="204"/>
      <c r="CQ122" s="204"/>
      <c r="CR122" s="204"/>
      <c r="CS122" s="204"/>
      <c r="CT122" s="204"/>
      <c r="CU122" s="249"/>
      <c r="CV122" s="250"/>
      <c r="CW122" s="204"/>
      <c r="CX122" s="204"/>
      <c r="CY122" s="204"/>
      <c r="CZ122" s="204"/>
      <c r="DA122" s="204"/>
      <c r="EF122" s="247"/>
      <c r="EJ122" s="296"/>
      <c r="EK122" s="297"/>
      <c r="EL122" s="297"/>
      <c r="EM122" s="297"/>
      <c r="EN122" s="297"/>
      <c r="EO122" s="204"/>
      <c r="EP122" s="204"/>
      <c r="EQ122" s="204"/>
      <c r="ER122" s="204"/>
      <c r="ES122" s="204"/>
      <c r="ET122" s="204"/>
      <c r="EU122" s="204"/>
      <c r="EV122" s="204"/>
      <c r="EW122" s="204"/>
      <c r="EX122" s="204"/>
      <c r="EY122" s="288"/>
      <c r="EZ122" s="288"/>
      <c r="FA122" s="204"/>
      <c r="FB122" s="289"/>
      <c r="FC122" s="289"/>
      <c r="FD122" s="289"/>
      <c r="FE122" s="289"/>
      <c r="FF122" s="289"/>
      <c r="FG122" s="289"/>
      <c r="FH122" s="204"/>
      <c r="FI122" s="204"/>
    </row>
    <row r="123" spans="54:169" ht="12.9" customHeight="1" x14ac:dyDescent="0.3">
      <c r="BB123" s="204"/>
      <c r="BC123" s="204"/>
      <c r="BD123" s="204"/>
      <c r="BE123" s="204"/>
      <c r="BF123" s="204"/>
      <c r="BG123" s="204"/>
      <c r="BH123" s="204"/>
      <c r="BI123" s="204"/>
      <c r="BJ123" s="204"/>
      <c r="BK123" s="204"/>
      <c r="BL123" s="204"/>
      <c r="BM123" s="204"/>
      <c r="BN123" s="204"/>
      <c r="BO123" s="204"/>
      <c r="BP123" s="204"/>
      <c r="BQ123" s="204"/>
      <c r="BR123" s="204"/>
      <c r="BS123" s="244"/>
      <c r="BW123" s="204"/>
      <c r="BX123" s="204"/>
      <c r="BY123" s="204"/>
      <c r="BZ123" s="204"/>
      <c r="CA123" s="204"/>
      <c r="CB123" s="204"/>
      <c r="CC123" s="204"/>
      <c r="CD123" s="204"/>
      <c r="CE123" s="204"/>
      <c r="CF123" s="204"/>
      <c r="CG123" s="204"/>
      <c r="CH123" s="204"/>
      <c r="CI123" s="204"/>
      <c r="CJ123" s="204"/>
      <c r="CK123" s="204"/>
      <c r="CL123" s="204"/>
      <c r="CM123" s="204"/>
      <c r="CN123" s="204"/>
      <c r="CO123" s="204"/>
      <c r="CP123" s="204"/>
      <c r="CQ123" s="204"/>
      <c r="CR123" s="204"/>
      <c r="CS123" s="204"/>
      <c r="CT123" s="204"/>
      <c r="CU123" s="249"/>
      <c r="CV123" s="250"/>
      <c r="CW123" s="204"/>
      <c r="CX123" s="204"/>
      <c r="CY123" s="204"/>
      <c r="CZ123" s="204"/>
      <c r="DA123" s="204"/>
      <c r="EF123" s="247"/>
    </row>
    <row r="124" spans="54:169" ht="12.9" customHeight="1" x14ac:dyDescent="0.3">
      <c r="BB124" s="204"/>
      <c r="BC124" s="204"/>
      <c r="BD124" s="204"/>
      <c r="BE124" s="204"/>
      <c r="BF124" s="204"/>
      <c r="BG124" s="204"/>
      <c r="BH124" s="204"/>
      <c r="BI124" s="204"/>
      <c r="BJ124" s="204"/>
      <c r="BK124" s="204"/>
      <c r="BL124" s="204"/>
      <c r="BM124" s="204"/>
      <c r="BN124" s="204"/>
      <c r="BO124" s="204"/>
      <c r="BP124" s="204"/>
      <c r="BQ124" s="204"/>
      <c r="BR124" s="204"/>
      <c r="BS124" s="244"/>
      <c r="BW124" s="204"/>
      <c r="BX124" s="204"/>
      <c r="BY124" s="204"/>
      <c r="BZ124" s="204"/>
      <c r="CA124" s="204"/>
      <c r="CB124" s="204"/>
      <c r="CC124" s="204"/>
      <c r="CD124" s="204"/>
      <c r="CE124" s="204"/>
      <c r="CF124" s="204"/>
      <c r="CG124" s="204"/>
      <c r="CH124" s="204"/>
      <c r="CI124" s="204"/>
      <c r="CJ124" s="204"/>
      <c r="CK124" s="204"/>
      <c r="CL124" s="204"/>
      <c r="CM124" s="204"/>
      <c r="CN124" s="204"/>
      <c r="CO124" s="204"/>
      <c r="CP124" s="204"/>
      <c r="CQ124" s="204"/>
      <c r="CR124" s="204"/>
      <c r="CS124" s="204"/>
      <c r="CT124" s="204"/>
      <c r="CU124" s="249"/>
      <c r="CV124" s="250"/>
      <c r="CW124" s="204"/>
      <c r="CX124" s="204"/>
      <c r="CY124" s="204"/>
      <c r="CZ124" s="204"/>
      <c r="DA124" s="204"/>
      <c r="DC124" s="204" t="s">
        <v>213</v>
      </c>
      <c r="DF124" t="s">
        <v>64</v>
      </c>
      <c r="DG124" s="254">
        <f>IF(Q13="","",IF(AND(0&lt;Q13,Q13&lt;=42),CJ23,IF(AND(42&lt;Q13,Q13&lt;=58),CJ24,IF(AND(58&lt;Q13,Q13&lt;=90),CJ25,"Latitude
                    Error"))))</f>
        <v>0.32</v>
      </c>
      <c r="DH124" s="254"/>
      <c r="EF124" s="247"/>
    </row>
    <row r="125" spans="54:169" ht="12.9" customHeight="1" x14ac:dyDescent="0.3">
      <c r="BB125" s="204"/>
      <c r="BC125" s="204"/>
      <c r="BD125" s="204"/>
      <c r="BE125" s="204"/>
      <c r="BF125" s="204"/>
      <c r="BG125" s="204"/>
      <c r="BH125" s="204"/>
      <c r="BI125" s="204"/>
      <c r="BJ125" s="204"/>
      <c r="BK125" s="204"/>
      <c r="BL125" s="204"/>
      <c r="BM125" s="204"/>
      <c r="BN125" s="204"/>
      <c r="BO125" s="204"/>
      <c r="BP125" s="204"/>
      <c r="BQ125" s="204"/>
      <c r="BR125" s="204"/>
      <c r="BS125" s="244"/>
      <c r="BW125" s="204"/>
      <c r="BX125" s="204"/>
      <c r="BY125" s="204"/>
      <c r="BZ125" s="204"/>
      <c r="CA125" s="204"/>
      <c r="CB125" s="204"/>
      <c r="CC125" s="204"/>
      <c r="CD125" s="204"/>
      <c r="CE125" s="204"/>
      <c r="CF125" s="204"/>
      <c r="CG125" s="204"/>
      <c r="CH125" s="204"/>
      <c r="CI125" s="204"/>
      <c r="CJ125" s="204"/>
      <c r="CK125" s="204"/>
      <c r="CL125" s="204"/>
      <c r="CM125" s="204"/>
      <c r="CN125" s="204"/>
      <c r="CO125" s="204"/>
      <c r="CP125" s="204"/>
      <c r="CQ125" s="204"/>
      <c r="CR125" s="204"/>
      <c r="CS125" s="204"/>
      <c r="CT125" s="204"/>
      <c r="CU125" s="249"/>
      <c r="CV125" s="250"/>
      <c r="CW125" s="204"/>
      <c r="CX125" s="204"/>
      <c r="CY125" s="204"/>
      <c r="CZ125" s="204"/>
      <c r="DA125" s="204"/>
      <c r="DC125" s="204" t="s">
        <v>214</v>
      </c>
      <c r="DF125" t="s">
        <v>64</v>
      </c>
      <c r="DG125" s="300" t="e">
        <f>AH45</f>
        <v>#DIV/0!</v>
      </c>
      <c r="DH125" s="300"/>
      <c r="EF125" s="247"/>
      <c r="FJ125" s="301"/>
      <c r="FK125" s="301"/>
      <c r="FL125" s="301"/>
      <c r="FM125" s="301"/>
    </row>
    <row r="126" spans="54:169" ht="12.9" customHeight="1" x14ac:dyDescent="0.3">
      <c r="BB126" s="204"/>
      <c r="BC126" s="204"/>
      <c r="BD126" s="204"/>
      <c r="BE126" s="204"/>
      <c r="BF126" s="204"/>
      <c r="BG126" s="204"/>
      <c r="BH126" s="204"/>
      <c r="BI126" s="204"/>
      <c r="BJ126" s="204"/>
      <c r="BK126" s="204"/>
      <c r="BL126" s="204"/>
      <c r="BM126" s="204"/>
      <c r="BN126" s="204"/>
      <c r="BO126" s="204"/>
      <c r="BP126" s="204"/>
      <c r="BQ126" s="204"/>
      <c r="BR126" s="204"/>
      <c r="BS126" s="244"/>
      <c r="BW126" s="204"/>
      <c r="BX126" s="204"/>
      <c r="BY126" s="204"/>
      <c r="BZ126" s="204"/>
      <c r="CA126" s="204"/>
      <c r="CB126" s="204"/>
      <c r="CC126" s="204"/>
      <c r="CD126" s="204"/>
      <c r="CE126" s="204"/>
      <c r="CF126" s="204"/>
      <c r="CG126" s="204"/>
      <c r="CH126" s="204"/>
      <c r="CI126" s="204"/>
      <c r="CJ126" s="204"/>
      <c r="CK126" s="204"/>
      <c r="CL126" s="204"/>
      <c r="CM126" s="204"/>
      <c r="CN126" s="204"/>
      <c r="CO126" s="204"/>
      <c r="CP126" s="204"/>
      <c r="CQ126" s="204"/>
      <c r="CR126" s="204"/>
      <c r="CS126" s="204"/>
      <c r="CT126" s="204"/>
      <c r="CU126" s="249"/>
      <c r="CV126" s="250"/>
      <c r="CW126" s="204"/>
      <c r="CX126" s="204"/>
      <c r="CY126" s="204"/>
      <c r="CZ126" s="204"/>
      <c r="DA126" s="204"/>
      <c r="DC126" s="204" t="s">
        <v>209</v>
      </c>
      <c r="DF126" t="s">
        <v>64</v>
      </c>
      <c r="DG126" s="253" t="e">
        <f>DG124*(Q10^0.9)*DG125</f>
        <v>#DIV/0!</v>
      </c>
      <c r="DH126" s="253"/>
      <c r="DI126" s="204" t="s">
        <v>186</v>
      </c>
      <c r="EF126" s="247"/>
    </row>
    <row r="127" spans="54:169" ht="12.9" customHeight="1" x14ac:dyDescent="0.3">
      <c r="BB127" s="204"/>
      <c r="BC127" s="204"/>
      <c r="BD127" s="204"/>
      <c r="BE127" s="204"/>
      <c r="BF127" s="204"/>
      <c r="BG127" s="204"/>
      <c r="BH127" s="204"/>
      <c r="BI127" s="204"/>
      <c r="BJ127" s="204"/>
      <c r="BK127" s="204"/>
      <c r="BL127" s="204"/>
      <c r="BM127" s="204"/>
      <c r="BN127" s="204"/>
      <c r="BO127" s="204"/>
      <c r="BP127" s="204"/>
      <c r="BQ127" s="204"/>
      <c r="BR127" s="204"/>
      <c r="BS127" s="244"/>
      <c r="BW127" s="204"/>
      <c r="BX127" s="204"/>
      <c r="BY127" s="204"/>
      <c r="BZ127" s="204"/>
      <c r="CA127" s="204"/>
      <c r="CB127" s="204"/>
      <c r="CC127" s="204"/>
      <c r="CD127" s="204"/>
      <c r="CE127" s="204"/>
      <c r="CF127" s="204"/>
      <c r="CG127" s="204"/>
      <c r="CH127" s="204"/>
      <c r="CI127" s="204"/>
      <c r="CJ127" s="204"/>
      <c r="CK127" s="204"/>
      <c r="CL127" s="204"/>
      <c r="CM127" s="204"/>
      <c r="CN127" s="204"/>
      <c r="CO127" s="204"/>
      <c r="CP127" s="204"/>
      <c r="CQ127" s="204"/>
      <c r="CR127" s="204"/>
      <c r="CS127" s="204"/>
      <c r="CT127" s="204"/>
      <c r="CU127" s="249"/>
      <c r="CV127" s="250"/>
      <c r="CW127" s="204"/>
      <c r="CX127" s="204"/>
      <c r="CY127" s="204"/>
      <c r="CZ127" s="204"/>
      <c r="DA127" s="204"/>
      <c r="EF127" s="247"/>
    </row>
    <row r="128" spans="54:169" ht="12.9" customHeight="1" x14ac:dyDescent="0.3">
      <c r="BB128" s="204"/>
      <c r="BC128" s="204"/>
      <c r="BD128" s="204"/>
      <c r="BE128" s="204"/>
      <c r="BF128" s="204"/>
      <c r="BG128" s="204"/>
      <c r="BH128" s="204"/>
      <c r="BI128" s="204"/>
      <c r="BJ128" s="204"/>
      <c r="BK128" s="204"/>
      <c r="BL128" s="204"/>
      <c r="BM128" s="204"/>
      <c r="BN128" s="204"/>
      <c r="BO128" s="204"/>
      <c r="BP128" s="204"/>
      <c r="BQ128" s="204"/>
      <c r="BR128" s="204"/>
      <c r="BS128" s="244"/>
      <c r="BW128" s="204"/>
      <c r="BX128" s="204"/>
      <c r="BY128" s="204"/>
      <c r="BZ128" s="204"/>
      <c r="CA128" s="204"/>
      <c r="CB128" s="204"/>
      <c r="CC128" s="204"/>
      <c r="CD128" s="204"/>
      <c r="CE128" s="204"/>
      <c r="CF128" s="204"/>
      <c r="CG128" s="204"/>
      <c r="CH128" s="204"/>
      <c r="CI128" s="204"/>
      <c r="CJ128" s="204"/>
      <c r="CK128" s="204"/>
      <c r="CL128" s="204"/>
      <c r="CM128" s="204"/>
      <c r="CN128" s="204"/>
      <c r="CO128" s="204"/>
      <c r="CP128" s="204"/>
      <c r="CQ128" s="204"/>
      <c r="CR128" s="204"/>
      <c r="CS128" s="204"/>
      <c r="CT128" s="204"/>
      <c r="CU128" s="249"/>
      <c r="CV128" s="250"/>
      <c r="CW128" s="204"/>
      <c r="CX128" s="204"/>
      <c r="CY128" s="204"/>
      <c r="CZ128" s="204" t="s">
        <v>191</v>
      </c>
      <c r="DA128" s="204"/>
      <c r="EF128" s="247"/>
    </row>
    <row r="129" spans="54:148" ht="12.9" customHeight="1" x14ac:dyDescent="0.3">
      <c r="BB129" s="204"/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4"/>
      <c r="BM129" s="204"/>
      <c r="BN129" s="204"/>
      <c r="BO129" s="204"/>
      <c r="BP129" s="204"/>
      <c r="BQ129" s="204"/>
      <c r="BR129" s="204"/>
      <c r="BS129" s="244"/>
      <c r="BZ129" s="204"/>
      <c r="CA129" s="254" t="s">
        <v>183</v>
      </c>
      <c r="CB129" s="254"/>
      <c r="CC129" s="204" t="s">
        <v>64</v>
      </c>
      <c r="CD129" s="253">
        <f>IF(OR(Q13="",AH8=""),"",IF(AH9="","CHK
                    V.P",IF(AH9=AW7,IF(AH8&lt;25,IF(AND(0&lt;Q13,Q13&lt;=42),CJ36,IF(AND(42&lt;Q13,Q13&lt;=58),CJ37,IF(AND(58&lt;Q13,Q13&lt;=90),CJ38,"Latitude
                    Error"))),IF(AND(0&lt;Q13,Q13&lt;=42),CN36,IF(AND(42&lt;Q13,Q13&lt;=58),CN37,IF(AND(58&lt;Q13,Q13&lt;=90),CN38,"Latitude
                    Error")))),IF(AND(0&lt;Q13,Q13&lt;=42),CN36,IF(AND(42&lt;Q13,Q13&lt;=58),CN37,IF(AND(58&lt;Q13,Q13&lt;=90),CN38,"Latitude
                    Error"))))))</f>
        <v>6.5</v>
      </c>
      <c r="CE129" s="253"/>
      <c r="CF129" s="204"/>
      <c r="CG129" s="204"/>
      <c r="CH129" s="204"/>
      <c r="CI129" s="204"/>
      <c r="CJ129" s="204"/>
      <c r="CK129" s="204"/>
      <c r="CL129" s="204"/>
      <c r="CM129" s="204"/>
      <c r="CU129" s="247"/>
      <c r="CV129" s="244"/>
      <c r="DA129" t="s">
        <v>215</v>
      </c>
      <c r="EF129" s="247"/>
    </row>
    <row r="130" spans="54:148" ht="12.9" customHeight="1" x14ac:dyDescent="0.3">
      <c r="BB130" s="204"/>
      <c r="BC130" s="204"/>
      <c r="BD130" s="204"/>
      <c r="BE130" s="204"/>
      <c r="BF130" s="204"/>
      <c r="BG130" s="204"/>
      <c r="BH130" s="204"/>
      <c r="BI130" s="204"/>
      <c r="BJ130" s="204"/>
      <c r="BK130" s="204"/>
      <c r="BL130" s="204"/>
      <c r="BM130" s="204"/>
      <c r="BN130" s="204"/>
      <c r="BO130" s="204"/>
      <c r="BP130" s="204"/>
      <c r="BQ130" s="204"/>
      <c r="BR130" s="204"/>
      <c r="BS130" s="244"/>
      <c r="BZ130" s="204"/>
      <c r="CA130" s="254" t="s">
        <v>216</v>
      </c>
      <c r="CB130" s="254"/>
      <c r="CC130" s="204" t="s">
        <v>64</v>
      </c>
      <c r="CD130" s="302" t="e">
        <f>IF(Q10="","",IF(M18=BL5,1,1/(1+((AH19*(Q19/1000))/Q20))))</f>
        <v>#DIV/0!</v>
      </c>
      <c r="CE130" s="302"/>
      <c r="CF130" s="204"/>
      <c r="CI130" s="204" t="s">
        <v>217</v>
      </c>
      <c r="CJ130" s="204"/>
      <c r="CK130" s="204" t="s">
        <v>64</v>
      </c>
      <c r="CL130" s="303" t="e">
        <f>((AH21*CD130/AH20))+(1-(AH21/AH20))</f>
        <v>#DIV/0!</v>
      </c>
      <c r="CM130" s="303"/>
      <c r="CU130" s="247"/>
      <c r="CV130" s="244"/>
      <c r="EF130" s="247"/>
      <c r="EK130" s="301"/>
      <c r="EL130" s="301"/>
      <c r="EM130" s="301"/>
      <c r="EN130" s="301"/>
      <c r="EO130" s="301"/>
      <c r="EP130" s="301"/>
      <c r="EQ130" s="301"/>
      <c r="ER130" s="301"/>
    </row>
    <row r="131" spans="54:148" ht="12.9" customHeight="1" x14ac:dyDescent="0.3"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4"/>
      <c r="BL131" s="204"/>
      <c r="BM131" s="204"/>
      <c r="BN131" s="204"/>
      <c r="BO131" s="204"/>
      <c r="BP131" s="204"/>
      <c r="BQ131" s="204"/>
      <c r="BR131" s="204"/>
      <c r="BS131" s="244"/>
      <c r="BZ131" s="204"/>
      <c r="CA131" s="254" t="s">
        <v>199</v>
      </c>
      <c r="CB131" s="254"/>
      <c r="CC131" s="204" t="s">
        <v>64</v>
      </c>
      <c r="CD131" s="252" t="e">
        <f>IF(OR(M18=BL6,M18=BL5),CD129*(Q10^0.7)*CD130,IF(M18=BL7,CD129*(Q10^0.7)*CL130,"ERROR"))</f>
        <v>#DIV/0!</v>
      </c>
      <c r="CE131" s="252"/>
      <c r="CF131" s="204" t="s">
        <v>186</v>
      </c>
      <c r="CU131" s="247"/>
      <c r="CV131" s="244"/>
      <c r="EF131" s="247"/>
    </row>
    <row r="132" spans="54:148" ht="12.9" customHeight="1" x14ac:dyDescent="0.3"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4"/>
      <c r="BM132" s="204"/>
      <c r="BN132" s="204"/>
      <c r="BO132" s="204"/>
      <c r="BP132" s="204"/>
      <c r="BQ132" s="204"/>
      <c r="BR132" s="204"/>
      <c r="BS132" s="244"/>
      <c r="CU132" s="247"/>
      <c r="CV132" s="244"/>
      <c r="EF132" s="247"/>
    </row>
    <row r="133" spans="54:148" ht="12.9" customHeight="1" x14ac:dyDescent="0.3">
      <c r="BB133" s="204"/>
      <c r="BC133" s="204"/>
      <c r="BD133" s="204"/>
      <c r="BE133" s="204"/>
      <c r="BF133" s="204"/>
      <c r="BG133" s="204"/>
      <c r="BH133" s="204"/>
      <c r="BI133" s="204"/>
      <c r="BJ133" s="204"/>
      <c r="BK133" s="204"/>
      <c r="BL133" s="204"/>
      <c r="BM133" s="204"/>
      <c r="BN133" s="204"/>
      <c r="BO133" s="204"/>
      <c r="BP133" s="204"/>
      <c r="BQ133" s="204"/>
      <c r="BR133" s="204"/>
      <c r="BS133" s="244"/>
      <c r="BX133" t="s">
        <v>191</v>
      </c>
      <c r="CU133" s="247"/>
      <c r="CV133" s="244"/>
      <c r="EF133" s="247"/>
    </row>
    <row r="134" spans="54:148" ht="12.9" customHeight="1" x14ac:dyDescent="0.3">
      <c r="BB134" s="204"/>
      <c r="BC134" s="204"/>
      <c r="BD134" s="204"/>
      <c r="BE134" s="204"/>
      <c r="BF134" s="204"/>
      <c r="BG134" s="204"/>
      <c r="BH134" s="204"/>
      <c r="BI134" s="204"/>
      <c r="BJ134" s="204"/>
      <c r="BK134" s="204"/>
      <c r="BL134" s="204"/>
      <c r="BM134" s="204"/>
      <c r="BN134" s="204"/>
      <c r="BO134" s="204"/>
      <c r="BP134" s="204"/>
      <c r="BQ134" s="204"/>
      <c r="BR134" s="204"/>
      <c r="BS134" s="244"/>
      <c r="BY134" s="304" t="s">
        <v>218</v>
      </c>
      <c r="CU134" s="247"/>
      <c r="CV134" s="244"/>
      <c r="EF134" s="247"/>
    </row>
    <row r="135" spans="54:148" ht="12.9" customHeight="1" x14ac:dyDescent="0.3">
      <c r="BB135" s="204"/>
      <c r="BC135" s="204"/>
      <c r="BD135" s="204"/>
      <c r="BE135" s="204"/>
      <c r="BF135" s="204"/>
      <c r="BG135" s="204"/>
      <c r="BH135" s="204"/>
      <c r="BI135" s="204"/>
      <c r="BJ135" s="204"/>
      <c r="BK135" s="204"/>
      <c r="BL135" s="204"/>
      <c r="BM135" s="204"/>
      <c r="BN135" s="204"/>
      <c r="BO135" s="204"/>
      <c r="BP135" s="204"/>
      <c r="BQ135" s="204"/>
      <c r="BR135" s="204"/>
      <c r="BS135" s="244"/>
      <c r="CU135" s="247"/>
      <c r="CV135" s="244"/>
      <c r="EF135" s="247"/>
    </row>
    <row r="136" spans="54:148" ht="12.9" customHeight="1" x14ac:dyDescent="0.3">
      <c r="BB136" s="204"/>
      <c r="BC136" s="204"/>
      <c r="BD136" s="204"/>
      <c r="BE136" s="204"/>
      <c r="BF136" s="204"/>
      <c r="BG136" s="204"/>
      <c r="BH136" s="204"/>
      <c r="BI136" s="204"/>
      <c r="BJ136" s="204"/>
      <c r="BK136" s="204"/>
      <c r="BL136" s="204"/>
      <c r="BM136" s="204"/>
      <c r="BN136" s="204"/>
      <c r="BO136" s="204"/>
      <c r="BP136" s="204"/>
      <c r="BQ136" s="204"/>
      <c r="BR136" s="204"/>
      <c r="BS136" s="244"/>
      <c r="CU136" s="247"/>
      <c r="CV136" s="244"/>
      <c r="EF136" s="247"/>
    </row>
  </sheetData>
  <dataConsolidate/>
  <mergeCells count="509">
    <mergeCell ref="CA131:CB131"/>
    <mergeCell ref="CD131:CE131"/>
    <mergeCell ref="DG125:DH125"/>
    <mergeCell ref="FJ125:FM125"/>
    <mergeCell ref="DG126:DH126"/>
    <mergeCell ref="CA129:CB129"/>
    <mergeCell ref="CD129:CE129"/>
    <mergeCell ref="CA130:CB130"/>
    <mergeCell ref="CD130:CE130"/>
    <mergeCell ref="CL130:CM130"/>
    <mergeCell ref="EK130:ER130"/>
    <mergeCell ref="DG119:DH119"/>
    <mergeCell ref="FA119:FD119"/>
    <mergeCell ref="FE119:FI119"/>
    <mergeCell ref="FA120:FD120"/>
    <mergeCell ref="FE120:FI120"/>
    <mergeCell ref="DG124:DH124"/>
    <mergeCell ref="FA116:FD116"/>
    <mergeCell ref="FE116:FI116"/>
    <mergeCell ref="FA117:FD117"/>
    <mergeCell ref="FE117:FI117"/>
    <mergeCell ref="FA118:FD118"/>
    <mergeCell ref="FE118:FI118"/>
    <mergeCell ref="FA113:FD113"/>
    <mergeCell ref="FE113:FI113"/>
    <mergeCell ref="FA114:FD114"/>
    <mergeCell ref="FE114:FI114"/>
    <mergeCell ref="CD115:CF115"/>
    <mergeCell ref="FA115:FD115"/>
    <mergeCell ref="FE115:FI115"/>
    <mergeCell ref="BG105:BJ105"/>
    <mergeCell ref="DG106:DH106"/>
    <mergeCell ref="CD107:CF107"/>
    <mergeCell ref="CD110:CF110"/>
    <mergeCell ref="DD112:DH112"/>
    <mergeCell ref="DG113:DH113"/>
    <mergeCell ref="BG102:BJ102"/>
    <mergeCell ref="BN102:BO102"/>
    <mergeCell ref="BG103:BJ103"/>
    <mergeCell ref="DG103:DH103"/>
    <mergeCell ref="BG104:BJ104"/>
    <mergeCell ref="CD104:CF104"/>
    <mergeCell ref="CK92:CP92"/>
    <mergeCell ref="CQ92:CU92"/>
    <mergeCell ref="CV92:CY92"/>
    <mergeCell ref="CK93:CP93"/>
    <mergeCell ref="CQ93:CU93"/>
    <mergeCell ref="CV93:CY93"/>
    <mergeCell ref="CV89:CY89"/>
    <mergeCell ref="CK90:CP90"/>
    <mergeCell ref="CQ90:CU90"/>
    <mergeCell ref="CV90:CY90"/>
    <mergeCell ref="CK91:CP91"/>
    <mergeCell ref="CQ91:CU91"/>
    <mergeCell ref="CV91:CY91"/>
    <mergeCell ref="CV86:CY86"/>
    <mergeCell ref="CC87:CJ93"/>
    <mergeCell ref="CK87:CP87"/>
    <mergeCell ref="CQ87:CU87"/>
    <mergeCell ref="CV87:CY87"/>
    <mergeCell ref="CK88:CP88"/>
    <mergeCell ref="CQ88:CU88"/>
    <mergeCell ref="CV88:CY88"/>
    <mergeCell ref="CK89:CP89"/>
    <mergeCell ref="CQ89:CU89"/>
    <mergeCell ref="BY81:CJ81"/>
    <mergeCell ref="CK81:CP81"/>
    <mergeCell ref="CK82:CP82"/>
    <mergeCell ref="CC86:CJ86"/>
    <mergeCell ref="CK86:CP86"/>
    <mergeCell ref="CQ86:CU86"/>
    <mergeCell ref="CC77:CJ77"/>
    <mergeCell ref="CK77:CP77"/>
    <mergeCell ref="CC78:CJ78"/>
    <mergeCell ref="CK78:CP78"/>
    <mergeCell ref="CC79:CJ79"/>
    <mergeCell ref="CK79:CP79"/>
    <mergeCell ref="CC74:CJ74"/>
    <mergeCell ref="CK74:CP74"/>
    <mergeCell ref="CC75:CJ75"/>
    <mergeCell ref="CK75:CP75"/>
    <mergeCell ref="CC76:CJ76"/>
    <mergeCell ref="CK76:CP76"/>
    <mergeCell ref="AC72:AJ72"/>
    <mergeCell ref="AK72:AM72"/>
    <mergeCell ref="CC72:CJ72"/>
    <mergeCell ref="CK72:CP72"/>
    <mergeCell ref="V73:AB73"/>
    <mergeCell ref="AC73:AJ73"/>
    <mergeCell ref="CC73:CJ73"/>
    <mergeCell ref="CK73:CP73"/>
    <mergeCell ref="CK70:CP70"/>
    <mergeCell ref="C71:E73"/>
    <mergeCell ref="F71:U73"/>
    <mergeCell ref="V71:X71"/>
    <mergeCell ref="Y71:AC71"/>
    <mergeCell ref="AD71:AH71"/>
    <mergeCell ref="AI71:AM71"/>
    <mergeCell ref="CC71:CJ71"/>
    <mergeCell ref="CK71:CP71"/>
    <mergeCell ref="V72:AB72"/>
    <mergeCell ref="F70:U70"/>
    <mergeCell ref="V70:X70"/>
    <mergeCell ref="Y70:AC70"/>
    <mergeCell ref="AD70:AH70"/>
    <mergeCell ref="AI70:AM70"/>
    <mergeCell ref="CC70:CJ70"/>
    <mergeCell ref="CK68:CP68"/>
    <mergeCell ref="F69:U69"/>
    <mergeCell ref="V69:X69"/>
    <mergeCell ref="Y69:AC69"/>
    <mergeCell ref="AD69:AH69"/>
    <mergeCell ref="AI69:AM69"/>
    <mergeCell ref="CC69:CJ69"/>
    <mergeCell ref="CK69:CP69"/>
    <mergeCell ref="CC66:CJ66"/>
    <mergeCell ref="CK66:CP66"/>
    <mergeCell ref="CC67:CJ67"/>
    <mergeCell ref="CK67:CP67"/>
    <mergeCell ref="F68:U68"/>
    <mergeCell ref="V68:X68"/>
    <mergeCell ref="Y68:AC68"/>
    <mergeCell ref="AD68:AH68"/>
    <mergeCell ref="AI68:AM68"/>
    <mergeCell ref="CC68:CJ68"/>
    <mergeCell ref="CC63:CJ63"/>
    <mergeCell ref="CK63:CP63"/>
    <mergeCell ref="CC64:CJ64"/>
    <mergeCell ref="CK64:CP64"/>
    <mergeCell ref="CC65:CJ65"/>
    <mergeCell ref="CK65:CP65"/>
    <mergeCell ref="CC60:CJ60"/>
    <mergeCell ref="CK60:CP60"/>
    <mergeCell ref="CC61:CJ61"/>
    <mergeCell ref="CK61:CP61"/>
    <mergeCell ref="CC62:CJ62"/>
    <mergeCell ref="CK62:CP62"/>
    <mergeCell ref="CC57:CJ57"/>
    <mergeCell ref="CK57:CP57"/>
    <mergeCell ref="CC58:CJ58"/>
    <mergeCell ref="CK58:CP58"/>
    <mergeCell ref="CC59:CJ59"/>
    <mergeCell ref="CK59:CP59"/>
    <mergeCell ref="CC54:CJ54"/>
    <mergeCell ref="CK54:CP54"/>
    <mergeCell ref="CC55:CJ55"/>
    <mergeCell ref="CK55:CP55"/>
    <mergeCell ref="U56:AC56"/>
    <mergeCell ref="CC56:CJ56"/>
    <mergeCell ref="CK56:CP56"/>
    <mergeCell ref="U51:AC51"/>
    <mergeCell ref="CC51:CJ51"/>
    <mergeCell ref="U52:AC52"/>
    <mergeCell ref="CC52:CJ52"/>
    <mergeCell ref="CK52:CP52"/>
    <mergeCell ref="U53:AC53"/>
    <mergeCell ref="CC53:CJ53"/>
    <mergeCell ref="CK53:CP53"/>
    <mergeCell ref="Q48:T48"/>
    <mergeCell ref="AH48:AK48"/>
    <mergeCell ref="EA48:ED48"/>
    <mergeCell ref="EE48:EI48"/>
    <mergeCell ref="EJ48:EP48"/>
    <mergeCell ref="EQ48:EV48"/>
    <mergeCell ref="CU47:CX47"/>
    <mergeCell ref="CY47:DB47"/>
    <mergeCell ref="EA47:ED47"/>
    <mergeCell ref="EE47:EI47"/>
    <mergeCell ref="EJ47:EP47"/>
    <mergeCell ref="EQ47:EV47"/>
    <mergeCell ref="CY46:DB46"/>
    <mergeCell ref="EA46:ED46"/>
    <mergeCell ref="EE46:EI46"/>
    <mergeCell ref="EJ46:EP46"/>
    <mergeCell ref="EQ46:EV46"/>
    <mergeCell ref="Q47:T47"/>
    <mergeCell ref="AH47:AK47"/>
    <mergeCell ref="CC47:CJ47"/>
    <mergeCell ref="CK47:CP47"/>
    <mergeCell ref="CQ47:CT47"/>
    <mergeCell ref="Q46:T46"/>
    <mergeCell ref="AH46:AK46"/>
    <mergeCell ref="CC46:CJ46"/>
    <mergeCell ref="CK46:CP46"/>
    <mergeCell ref="CQ46:CT46"/>
    <mergeCell ref="CU46:CX46"/>
    <mergeCell ref="CU45:CX45"/>
    <mergeCell ref="CY45:DB45"/>
    <mergeCell ref="EA45:ED45"/>
    <mergeCell ref="EE45:EI45"/>
    <mergeCell ref="EJ45:EP45"/>
    <mergeCell ref="EQ45:EV45"/>
    <mergeCell ref="CY44:DB44"/>
    <mergeCell ref="EA44:ED44"/>
    <mergeCell ref="EE44:EI44"/>
    <mergeCell ref="EJ44:EP44"/>
    <mergeCell ref="EQ44:EV44"/>
    <mergeCell ref="Q45:T45"/>
    <mergeCell ref="AH45:AK45"/>
    <mergeCell ref="CC45:CJ45"/>
    <mergeCell ref="CK45:CP45"/>
    <mergeCell ref="CQ45:CT45"/>
    <mergeCell ref="Q44:T44"/>
    <mergeCell ref="AH44:AK44"/>
    <mergeCell ref="CC44:CJ44"/>
    <mergeCell ref="CK44:CP44"/>
    <mergeCell ref="CQ44:CT44"/>
    <mergeCell ref="CU44:CX44"/>
    <mergeCell ref="EQ42:EV42"/>
    <mergeCell ref="CC43:CJ43"/>
    <mergeCell ref="CK43:CP43"/>
    <mergeCell ref="CQ43:CT43"/>
    <mergeCell ref="CU43:CX43"/>
    <mergeCell ref="CY43:DB43"/>
    <mergeCell ref="EA43:ED43"/>
    <mergeCell ref="EE43:EI43"/>
    <mergeCell ref="EJ43:EP43"/>
    <mergeCell ref="EQ43:EV43"/>
    <mergeCell ref="EJ41:EP41"/>
    <mergeCell ref="EQ41:EV41"/>
    <mergeCell ref="Q42:T42"/>
    <mergeCell ref="AH42:AK42"/>
    <mergeCell ref="CQ42:CT42"/>
    <mergeCell ref="CU42:CX42"/>
    <mergeCell ref="CY42:DB42"/>
    <mergeCell ref="EA42:ED42"/>
    <mergeCell ref="EE42:EI42"/>
    <mergeCell ref="EJ42:EP42"/>
    <mergeCell ref="Q40:W40"/>
    <mergeCell ref="EA40:ED40"/>
    <mergeCell ref="EE40:EI40"/>
    <mergeCell ref="EJ40:EP40"/>
    <mergeCell ref="EQ40:EV40"/>
    <mergeCell ref="CC41:CJ42"/>
    <mergeCell ref="CK41:CP42"/>
    <mergeCell ref="CQ41:CX41"/>
    <mergeCell ref="EA41:ED41"/>
    <mergeCell ref="EE41:EI41"/>
    <mergeCell ref="EA38:ED38"/>
    <mergeCell ref="EE38:EI38"/>
    <mergeCell ref="EJ38:EP38"/>
    <mergeCell ref="EQ38:EV38"/>
    <mergeCell ref="BN39:BU39"/>
    <mergeCell ref="EA39:ED39"/>
    <mergeCell ref="EE39:EI39"/>
    <mergeCell ref="EJ39:EP39"/>
    <mergeCell ref="EQ39:EV39"/>
    <mergeCell ref="DP37:DQ37"/>
    <mergeCell ref="EA37:ED37"/>
    <mergeCell ref="EE37:EI37"/>
    <mergeCell ref="EJ37:EP37"/>
    <mergeCell ref="EQ37:EV37"/>
    <mergeCell ref="CC38:CI38"/>
    <mergeCell ref="CJ38:CM38"/>
    <mergeCell ref="CN38:CQ38"/>
    <mergeCell ref="CR38:CU38"/>
    <mergeCell ref="CV38:CY38"/>
    <mergeCell ref="CC37:CI37"/>
    <mergeCell ref="CJ37:CM37"/>
    <mergeCell ref="CN37:CQ37"/>
    <mergeCell ref="CR37:CU37"/>
    <mergeCell ref="CV37:CY37"/>
    <mergeCell ref="DK37:DO37"/>
    <mergeCell ref="DN36:DO36"/>
    <mergeCell ref="DP36:DQ36"/>
    <mergeCell ref="EA36:ED36"/>
    <mergeCell ref="EE36:EI36"/>
    <mergeCell ref="EJ36:EP36"/>
    <mergeCell ref="EQ36:EV36"/>
    <mergeCell ref="EA35:ED35"/>
    <mergeCell ref="EE35:EI35"/>
    <mergeCell ref="EJ35:EP35"/>
    <mergeCell ref="EQ35:EV35"/>
    <mergeCell ref="CC36:CI36"/>
    <mergeCell ref="CJ36:CM36"/>
    <mergeCell ref="CN36:CQ36"/>
    <mergeCell ref="CR36:CU36"/>
    <mergeCell ref="CV36:CY36"/>
    <mergeCell ref="DJ36:DK36"/>
    <mergeCell ref="EQ34:EV34"/>
    <mergeCell ref="P35:T35"/>
    <mergeCell ref="AF35:AJ35"/>
    <mergeCell ref="CJ35:CM35"/>
    <mergeCell ref="CN35:CQ35"/>
    <mergeCell ref="CR35:CU35"/>
    <mergeCell ref="CV35:CY35"/>
    <mergeCell ref="DJ35:DK35"/>
    <mergeCell ref="DN35:DO35"/>
    <mergeCell ref="DP35:DQ35"/>
    <mergeCell ref="EQ33:EV33"/>
    <mergeCell ref="G34:O34"/>
    <mergeCell ref="P34:T34"/>
    <mergeCell ref="W34:AE34"/>
    <mergeCell ref="AF34:AJ34"/>
    <mergeCell ref="CJ34:CQ34"/>
    <mergeCell ref="CR34:CY34"/>
    <mergeCell ref="EA34:ED34"/>
    <mergeCell ref="EE34:EI34"/>
    <mergeCell ref="EJ34:EP34"/>
    <mergeCell ref="EJ32:EP32"/>
    <mergeCell ref="EQ32:EV32"/>
    <mergeCell ref="G33:O33"/>
    <mergeCell ref="P33:T33"/>
    <mergeCell ref="W33:AE33"/>
    <mergeCell ref="AF33:AJ33"/>
    <mergeCell ref="CK33:CP33"/>
    <mergeCell ref="EA33:ED33"/>
    <mergeCell ref="EE33:EI33"/>
    <mergeCell ref="EJ33:EP33"/>
    <mergeCell ref="EE31:EI31"/>
    <mergeCell ref="EJ31:EP31"/>
    <mergeCell ref="EQ31:EV31"/>
    <mergeCell ref="G32:O32"/>
    <mergeCell ref="P32:T32"/>
    <mergeCell ref="W32:AE32"/>
    <mergeCell ref="AF32:AJ32"/>
    <mergeCell ref="CK32:CP32"/>
    <mergeCell ref="EA32:ED32"/>
    <mergeCell ref="EE32:EI32"/>
    <mergeCell ref="G31:O31"/>
    <mergeCell ref="P31:T31"/>
    <mergeCell ref="W31:AE31"/>
    <mergeCell ref="AF31:AJ31"/>
    <mergeCell ref="CK31:CP31"/>
    <mergeCell ref="EA31:ED31"/>
    <mergeCell ref="EQ29:EV29"/>
    <mergeCell ref="G30:O30"/>
    <mergeCell ref="P30:T30"/>
    <mergeCell ref="W30:AE30"/>
    <mergeCell ref="AF30:AJ30"/>
    <mergeCell ref="CK30:CP30"/>
    <mergeCell ref="EA30:ED30"/>
    <mergeCell ref="EE30:EI30"/>
    <mergeCell ref="EJ30:EP30"/>
    <mergeCell ref="EQ30:EV30"/>
    <mergeCell ref="EJ28:EP28"/>
    <mergeCell ref="EQ28:EV28"/>
    <mergeCell ref="G29:O29"/>
    <mergeCell ref="P29:T29"/>
    <mergeCell ref="W29:AE29"/>
    <mergeCell ref="AF29:AJ29"/>
    <mergeCell ref="CK29:CP29"/>
    <mergeCell ref="EA29:ED29"/>
    <mergeCell ref="EE29:EI29"/>
    <mergeCell ref="EJ29:EP29"/>
    <mergeCell ref="EQ27:EV27"/>
    <mergeCell ref="G28:O28"/>
    <mergeCell ref="P28:T28"/>
    <mergeCell ref="W28:AE28"/>
    <mergeCell ref="AF28:AJ28"/>
    <mergeCell ref="CC28:CI35"/>
    <mergeCell ref="DK28:DO28"/>
    <mergeCell ref="DP28:DQ28"/>
    <mergeCell ref="EA28:ED28"/>
    <mergeCell ref="EE28:EI28"/>
    <mergeCell ref="DJ27:DK27"/>
    <mergeCell ref="DN27:DO27"/>
    <mergeCell ref="DP27:DQ27"/>
    <mergeCell ref="EA27:ED27"/>
    <mergeCell ref="EE27:EI27"/>
    <mergeCell ref="EJ27:EP27"/>
    <mergeCell ref="G27:O27"/>
    <mergeCell ref="P27:T27"/>
    <mergeCell ref="W27:AE27"/>
    <mergeCell ref="AF27:AJ27"/>
    <mergeCell ref="BL27:BR27"/>
    <mergeCell ref="BS27:BY27"/>
    <mergeCell ref="DN26:DO26"/>
    <mergeCell ref="DP26:DQ26"/>
    <mergeCell ref="EA26:ED26"/>
    <mergeCell ref="EE26:EI26"/>
    <mergeCell ref="EJ26:EP26"/>
    <mergeCell ref="EQ26:EV26"/>
    <mergeCell ref="EE25:EI25"/>
    <mergeCell ref="EJ25:EP25"/>
    <mergeCell ref="EQ25:EV25"/>
    <mergeCell ref="G26:O26"/>
    <mergeCell ref="P26:T26"/>
    <mergeCell ref="W26:AE26"/>
    <mergeCell ref="AF26:AJ26"/>
    <mergeCell ref="BL26:BR26"/>
    <mergeCell ref="BS26:BY26"/>
    <mergeCell ref="DJ26:DK26"/>
    <mergeCell ref="EQ24:EV24"/>
    <mergeCell ref="G25:O25"/>
    <mergeCell ref="P25:T25"/>
    <mergeCell ref="W25:AE25"/>
    <mergeCell ref="AF25:AJ25"/>
    <mergeCell ref="BL25:BR25"/>
    <mergeCell ref="BS25:BY25"/>
    <mergeCell ref="CC25:CI25"/>
    <mergeCell ref="CJ25:CM25"/>
    <mergeCell ref="EA25:ED25"/>
    <mergeCell ref="BS24:BY24"/>
    <mergeCell ref="CC24:CI24"/>
    <mergeCell ref="CJ24:CM24"/>
    <mergeCell ref="EA24:ED24"/>
    <mergeCell ref="EE24:EI24"/>
    <mergeCell ref="EJ24:EP24"/>
    <mergeCell ref="DP23:DQ23"/>
    <mergeCell ref="EA23:ED23"/>
    <mergeCell ref="EE23:EI23"/>
    <mergeCell ref="EJ23:EP23"/>
    <mergeCell ref="EQ23:EV23"/>
    <mergeCell ref="G24:O24"/>
    <mergeCell ref="P24:T24"/>
    <mergeCell ref="W24:AE24"/>
    <mergeCell ref="AF24:AJ24"/>
    <mergeCell ref="BL24:BR24"/>
    <mergeCell ref="EE22:EI22"/>
    <mergeCell ref="EJ22:EP22"/>
    <mergeCell ref="EQ22:EV22"/>
    <mergeCell ref="G23:T23"/>
    <mergeCell ref="W23:AJ23"/>
    <mergeCell ref="BL23:BR23"/>
    <mergeCell ref="BS23:BY23"/>
    <mergeCell ref="CC23:CI23"/>
    <mergeCell ref="CJ23:CM23"/>
    <mergeCell ref="DK23:DO23"/>
    <mergeCell ref="EE21:EI21"/>
    <mergeCell ref="EJ21:EP21"/>
    <mergeCell ref="EQ21:EV21"/>
    <mergeCell ref="AY22:AZ22"/>
    <mergeCell ref="CC22:CI22"/>
    <mergeCell ref="CJ22:CM22"/>
    <mergeCell ref="DJ22:DK22"/>
    <mergeCell ref="DN22:DO22"/>
    <mergeCell ref="DP22:DQ22"/>
    <mergeCell ref="EA22:ED22"/>
    <mergeCell ref="AH21:AK21"/>
    <mergeCell ref="AY21:AZ21"/>
    <mergeCell ref="DJ21:DK21"/>
    <mergeCell ref="DN21:DO21"/>
    <mergeCell ref="DP21:DQ21"/>
    <mergeCell ref="EA21:ED21"/>
    <mergeCell ref="EE19:EI19"/>
    <mergeCell ref="EJ19:EV19"/>
    <mergeCell ref="Q20:T20"/>
    <mergeCell ref="AH20:AK20"/>
    <mergeCell ref="AY20:AZ20"/>
    <mergeCell ref="EJ20:EP20"/>
    <mergeCell ref="EQ20:EV20"/>
    <mergeCell ref="M18:V18"/>
    <mergeCell ref="AY18:AZ18"/>
    <mergeCell ref="Q19:T19"/>
    <mergeCell ref="AH19:AK19"/>
    <mergeCell ref="AY19:AZ19"/>
    <mergeCell ref="EA19:ED19"/>
    <mergeCell ref="Q14:T14"/>
    <mergeCell ref="DE14:DF14"/>
    <mergeCell ref="O15:T15"/>
    <mergeCell ref="AH16:AK16"/>
    <mergeCell ref="AH17:AK17"/>
    <mergeCell ref="AY17:AZ17"/>
    <mergeCell ref="Q12:T12"/>
    <mergeCell ref="AH12:AK12"/>
    <mergeCell ref="DE12:DF12"/>
    <mergeCell ref="Q13:T13"/>
    <mergeCell ref="AH13:AK13"/>
    <mergeCell ref="DE13:DF13"/>
    <mergeCell ref="DA10:DB10"/>
    <mergeCell ref="DE10:DF10"/>
    <mergeCell ref="Q11:T11"/>
    <mergeCell ref="AH11:AK11"/>
    <mergeCell ref="CJ11:CQ11"/>
    <mergeCell ref="CS11:CX11"/>
    <mergeCell ref="DA11:DB11"/>
    <mergeCell ref="DE11:DF11"/>
    <mergeCell ref="Q10:T10"/>
    <mergeCell ref="V10:AB10"/>
    <mergeCell ref="AD10:AE10"/>
    <mergeCell ref="AH10:AK10"/>
    <mergeCell ref="CJ10:CQ10"/>
    <mergeCell ref="CS10:CX10"/>
    <mergeCell ref="AD9:AE9"/>
    <mergeCell ref="AH9:AK9"/>
    <mergeCell ref="CJ9:CQ9"/>
    <mergeCell ref="CS9:CX9"/>
    <mergeCell ref="DA9:DB9"/>
    <mergeCell ref="DE9:DF9"/>
    <mergeCell ref="DK7:DL7"/>
    <mergeCell ref="Q8:T8"/>
    <mergeCell ref="AH8:AK8"/>
    <mergeCell ref="CJ8:CQ8"/>
    <mergeCell ref="CS8:CX8"/>
    <mergeCell ref="DA8:DB8"/>
    <mergeCell ref="DE8:DF8"/>
    <mergeCell ref="DA6:DB6"/>
    <mergeCell ref="DE6:DF6"/>
    <mergeCell ref="CJ7:CQ7"/>
    <mergeCell ref="CS7:CX7"/>
    <mergeCell ref="DA7:DB7"/>
    <mergeCell ref="DE7:DF7"/>
    <mergeCell ref="DE4:DF4"/>
    <mergeCell ref="CJ5:CQ5"/>
    <mergeCell ref="CS5:CX5"/>
    <mergeCell ref="DA5:DB5"/>
    <mergeCell ref="DE5:DF5"/>
    <mergeCell ref="DK5:DM5"/>
    <mergeCell ref="B2:B73"/>
    <mergeCell ref="C2:AM2"/>
    <mergeCell ref="CG2:CI2"/>
    <mergeCell ref="CJ3:CR3"/>
    <mergeCell ref="CS3:CX3"/>
    <mergeCell ref="H4:N4"/>
    <mergeCell ref="U4:AG4"/>
    <mergeCell ref="CJ6:CQ6"/>
    <mergeCell ref="CS6:CX6"/>
    <mergeCell ref="Q9:T9"/>
  </mergeCells>
  <conditionalFormatting sqref="O15:T15">
    <cfRule type="expression" dxfId="7" priority="1">
      <formula>$AS$14</formula>
    </cfRule>
  </conditionalFormatting>
  <conditionalFormatting sqref="Q19:T20">
    <cfRule type="expression" dxfId="6" priority="8">
      <formula>$AS$10</formula>
    </cfRule>
  </conditionalFormatting>
  <conditionalFormatting sqref="Q44:U44">
    <cfRule type="expression" dxfId="5" priority="5">
      <formula>$AS$40</formula>
    </cfRule>
  </conditionalFormatting>
  <conditionalFormatting sqref="U51">
    <cfRule type="expression" dxfId="4" priority="4">
      <formula>$AS$48</formula>
    </cfRule>
  </conditionalFormatting>
  <conditionalFormatting sqref="AH19:AK19">
    <cfRule type="expression" dxfId="3" priority="7">
      <formula>$AS$10</formula>
    </cfRule>
  </conditionalFormatting>
  <conditionalFormatting sqref="AH20:AK20">
    <cfRule type="expression" dxfId="2" priority="6">
      <formula>$AS$11</formula>
    </cfRule>
  </conditionalFormatting>
  <conditionalFormatting sqref="AH21:AK21">
    <cfRule type="expression" dxfId="1" priority="2">
      <formula>$AS$11</formula>
    </cfRule>
  </conditionalFormatting>
  <conditionalFormatting sqref="AH44:AK44">
    <cfRule type="expression" dxfId="0" priority="3">
      <formula>$AS$40</formula>
    </cfRule>
  </conditionalFormatting>
  <dataValidations count="9">
    <dataValidation type="list" allowBlank="1" showInputMessage="1" showErrorMessage="1" sqref="M18:V18" xr:uid="{14C6E589-D997-4542-A077-B337E152530D}">
      <formula1>$BL$5:$BL$7</formula1>
    </dataValidation>
    <dataValidation type="list" allowBlank="1" showInputMessage="1" showErrorMessage="1" sqref="AH10:AK10" xr:uid="{56E3D171-82B2-47C1-8551-20C87A606A91}">
      <formula1>$AW$10:$AW$13</formula1>
    </dataValidation>
    <dataValidation type="list" allowBlank="1" showInputMessage="1" showErrorMessage="1" sqref="AC10" xr:uid="{FB90AE53-41ED-40F7-97D0-04091CAEE54E}">
      <formula1>$AU$10:$AU$12</formula1>
    </dataValidation>
    <dataValidation showInputMessage="1" showErrorMessage="1" sqref="AH9:AK9" xr:uid="{EF822C61-2895-4517-8C4B-CF5537DB25A0}"/>
    <dataValidation allowBlank="1" showDropDown="1" showInputMessage="1" showErrorMessage="1" sqref="V10:AB10" xr:uid="{F6A22634-EB96-460A-A387-5FA1C43589E0}"/>
    <dataValidation type="list" allowBlank="1" showInputMessage="1" showErrorMessage="1" sqref="Q40" xr:uid="{B0E974DB-81B7-4237-B678-0006D76CBD00}">
      <formula1>$BN$41:$BN$43</formula1>
    </dataValidation>
    <dataValidation allowBlank="1" showInputMessage="1" sqref="Q45:T45" xr:uid="{F7E5A7DD-80A1-4422-971B-B4BBF3EC3775}"/>
    <dataValidation showInputMessage="1" sqref="AH45:AK45" xr:uid="{704E4340-2E75-40D6-9F97-3EAF69F098D4}"/>
    <dataValidation type="list" allowBlank="1" showInputMessage="1" showErrorMessage="1" sqref="N3" xr:uid="{9BFC2221-C75A-4AAA-9784-69DEDC3EEC22}">
      <formula1>$CB$2:$CB$5</formula1>
    </dataValidation>
  </dataValidations>
  <printOptions horizontalCentered="1" verticalCentered="1"/>
  <pageMargins left="0.4" right="0.4" top="0.4" bottom="0.3" header="0.1" footer="0.1"/>
  <pageSetup paperSize="9" scale="87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Tank Venting</vt:lpstr>
      <vt:lpstr>Awet</vt:lpstr>
      <vt:lpstr>DesP</vt:lpstr>
      <vt:lpstr>'Tank Venting'!Print_Area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Maetee Lorprajuksiri</dc:creator>
  <cp:lastModifiedBy>Maetee Lorprajuksiri</cp:lastModifiedBy>
  <dcterms:created xsi:type="dcterms:W3CDTF">2026-02-24T03:39:40Z</dcterms:created>
  <dcterms:modified xsi:type="dcterms:W3CDTF">2026-02-24T03:40:31Z</dcterms:modified>
</cp:coreProperties>
</file>